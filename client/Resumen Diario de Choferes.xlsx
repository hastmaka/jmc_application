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MC\"/>
    </mc:Choice>
  </mc:AlternateContent>
  <xr:revisionPtr revIDLastSave="0" documentId="13_ncr:1_{292B11D4-594B-45A8-AFC3-2166BE3C2149}" xr6:coauthVersionLast="47" xr6:coauthVersionMax="47" xr10:uidLastSave="{00000000-0000-0000-0000-000000000000}"/>
  <bookViews>
    <workbookView xWindow="-28920" yWindow="-120" windowWidth="29040" windowHeight="15840" xr2:uid="{395F6D1A-8598-4355-B61C-45EDC0BD2346}"/>
  </bookViews>
  <sheets>
    <sheet name="Jorge 04" sheetId="1" r:id="rId1"/>
    <sheet name="Armando 05" sheetId="2" r:id="rId2"/>
    <sheet name="Felix 01" sheetId="4" r:id="rId3"/>
    <sheet name="Taylor 02" sheetId="3" r:id="rId4"/>
    <sheet name="Charles 05" sheetId="5" r:id="rId5"/>
    <sheet name="2 Vehiculos" sheetId="6" r:id="rId6"/>
  </sheets>
  <definedNames>
    <definedName name="_xlnm.Print_Area" localSheetId="5">'2 Vehiculos'!$A$1:$V$33</definedName>
    <definedName name="_xlnm.Print_Area" localSheetId="1">'Armando 05'!$A$1:$V$35</definedName>
    <definedName name="_xlnm.Print_Area" localSheetId="4">'Charles 05'!$A$1:$V$35</definedName>
    <definedName name="_xlnm.Print_Area" localSheetId="0">'Jorge 04'!$A$1:$V$35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U13" i="1" s="1"/>
  <c r="V13" i="1" s="1"/>
  <c r="Q14" i="1"/>
  <c r="U14" i="1" s="1"/>
  <c r="V14" i="1" s="1"/>
  <c r="Q15" i="1"/>
  <c r="Q16" i="1"/>
  <c r="U16" i="1" s="1"/>
  <c r="V16" i="1" s="1"/>
  <c r="Q17" i="1"/>
  <c r="Q18" i="1"/>
  <c r="Q19" i="1"/>
  <c r="Q20" i="1"/>
  <c r="Q21" i="1"/>
  <c r="Q22" i="1"/>
  <c r="Q12" i="2"/>
  <c r="G31" i="2"/>
  <c r="Q12" i="1"/>
  <c r="U12" i="1" s="1"/>
  <c r="V12" i="1" s="1"/>
  <c r="U19" i="1"/>
  <c r="Q23" i="1"/>
  <c r="V23" i="1" s="1"/>
  <c r="Q24" i="1"/>
  <c r="Q25" i="1"/>
  <c r="Q26" i="1"/>
  <c r="O29" i="6"/>
  <c r="G29" i="6"/>
  <c r="V26" i="6"/>
  <c r="U24" i="6"/>
  <c r="V24" i="6" s="1"/>
  <c r="Q24" i="6"/>
  <c r="Q23" i="6"/>
  <c r="Q22" i="6"/>
  <c r="Q21" i="6"/>
  <c r="U21" i="6" s="1"/>
  <c r="V21" i="6" s="1"/>
  <c r="U20" i="6"/>
  <c r="V20" i="6" s="1"/>
  <c r="Q20" i="6"/>
  <c r="Q19" i="6"/>
  <c r="Q18" i="6"/>
  <c r="Q17" i="6"/>
  <c r="U17" i="6" s="1"/>
  <c r="V17" i="6" s="1"/>
  <c r="U16" i="6"/>
  <c r="V16" i="6" s="1"/>
  <c r="Q16" i="6"/>
  <c r="Q15" i="6"/>
  <c r="Q14" i="6"/>
  <c r="Q13" i="6"/>
  <c r="U13" i="6" s="1"/>
  <c r="V13" i="6" s="1"/>
  <c r="U12" i="6"/>
  <c r="V12" i="6" s="1"/>
  <c r="Q12" i="6"/>
  <c r="G31" i="5"/>
  <c r="V28" i="5"/>
  <c r="Q26" i="5"/>
  <c r="Q25" i="5"/>
  <c r="Q24" i="5"/>
  <c r="U24" i="5" s="1"/>
  <c r="V24" i="5" s="1"/>
  <c r="U23" i="5"/>
  <c r="Q23" i="5"/>
  <c r="V23" i="5" s="1"/>
  <c r="Q22" i="5"/>
  <c r="Q21" i="5"/>
  <c r="V20" i="5"/>
  <c r="U20" i="5"/>
  <c r="Q20" i="5"/>
  <c r="U19" i="5"/>
  <c r="Q19" i="5"/>
  <c r="V19" i="5" s="1"/>
  <c r="Q18" i="5"/>
  <c r="Q17" i="5"/>
  <c r="U17" i="5" s="1"/>
  <c r="V17" i="5" s="1"/>
  <c r="V16" i="5"/>
  <c r="U16" i="5"/>
  <c r="Q16" i="5"/>
  <c r="Q15" i="5"/>
  <c r="Q14" i="5"/>
  <c r="Q13" i="5"/>
  <c r="U13" i="5" s="1"/>
  <c r="V13" i="5" s="1"/>
  <c r="U12" i="5"/>
  <c r="V12" i="5" s="1"/>
  <c r="Q12" i="5"/>
  <c r="Q11" i="5"/>
  <c r="G32" i="4"/>
  <c r="V29" i="4"/>
  <c r="Q27" i="4"/>
  <c r="U27" i="4" s="1"/>
  <c r="Q26" i="4"/>
  <c r="Q25" i="4"/>
  <c r="U25" i="4" s="1"/>
  <c r="V25" i="4" s="1"/>
  <c r="U24" i="4"/>
  <c r="V24" i="4" s="1"/>
  <c r="Q24" i="4"/>
  <c r="Q23" i="4"/>
  <c r="U23" i="4" s="1"/>
  <c r="Q22" i="4"/>
  <c r="Q21" i="4"/>
  <c r="Q20" i="4"/>
  <c r="U20" i="4" s="1"/>
  <c r="V20" i="4" s="1"/>
  <c r="Q19" i="4"/>
  <c r="Q18" i="4"/>
  <c r="Q17" i="4"/>
  <c r="U17" i="4" s="1"/>
  <c r="V17" i="4" s="1"/>
  <c r="Q16" i="4"/>
  <c r="U16" i="4" s="1"/>
  <c r="V16" i="4" s="1"/>
  <c r="Q15" i="4"/>
  <c r="Q14" i="4"/>
  <c r="Q13" i="4"/>
  <c r="U13" i="4" s="1"/>
  <c r="V13" i="4" s="1"/>
  <c r="Q12" i="4"/>
  <c r="U12" i="4" s="1"/>
  <c r="V12" i="4" s="1"/>
  <c r="G32" i="3"/>
  <c r="V29" i="3"/>
  <c r="Q27" i="3"/>
  <c r="U27" i="3" s="1"/>
  <c r="Q26" i="3"/>
  <c r="Q25" i="3"/>
  <c r="U25" i="3" s="1"/>
  <c r="V25" i="3" s="1"/>
  <c r="U24" i="3"/>
  <c r="V24" i="3" s="1"/>
  <c r="Q24" i="3"/>
  <c r="Q23" i="3"/>
  <c r="U23" i="3" s="1"/>
  <c r="Q22" i="3"/>
  <c r="V21" i="3"/>
  <c r="U21" i="3"/>
  <c r="Q21" i="3"/>
  <c r="U20" i="3"/>
  <c r="V20" i="3" s="1"/>
  <c r="Q20" i="3"/>
  <c r="Q19" i="3"/>
  <c r="U19" i="3" s="1"/>
  <c r="Q18" i="3"/>
  <c r="U17" i="3"/>
  <c r="V17" i="3" s="1"/>
  <c r="Q17" i="3"/>
  <c r="Q16" i="3"/>
  <c r="U16" i="3" s="1"/>
  <c r="V16" i="3" s="1"/>
  <c r="Q15" i="3"/>
  <c r="U15" i="3" s="1"/>
  <c r="Q14" i="3"/>
  <c r="Q13" i="3"/>
  <c r="Q12" i="3"/>
  <c r="U12" i="3" s="1"/>
  <c r="V12" i="3" s="1"/>
  <c r="V28" i="2"/>
  <c r="Q26" i="2"/>
  <c r="Q25" i="2"/>
  <c r="Q24" i="2"/>
  <c r="U24" i="2" s="1"/>
  <c r="V24" i="2" s="1"/>
  <c r="Q23" i="2"/>
  <c r="U23" i="2" s="1"/>
  <c r="Q22" i="2"/>
  <c r="Q21" i="2"/>
  <c r="U21" i="2" s="1"/>
  <c r="V21" i="2" s="1"/>
  <c r="U20" i="2"/>
  <c r="Q20" i="2"/>
  <c r="V20" i="2" s="1"/>
  <c r="U19" i="2"/>
  <c r="Q19" i="2"/>
  <c r="Q18" i="2"/>
  <c r="Q17" i="2"/>
  <c r="U17" i="2" s="1"/>
  <c r="V17" i="2" s="1"/>
  <c r="Q16" i="2"/>
  <c r="U16" i="2" s="1"/>
  <c r="V16" i="2" s="1"/>
  <c r="Q15" i="2"/>
  <c r="Q14" i="2"/>
  <c r="Q13" i="2"/>
  <c r="U13" i="2" s="1"/>
  <c r="V13" i="2" s="1"/>
  <c r="Q11" i="2"/>
  <c r="U11" i="2" s="1"/>
  <c r="G31" i="1"/>
  <c r="V28" i="1"/>
  <c r="U25" i="1"/>
  <c r="V25" i="1" s="1"/>
  <c r="U24" i="1"/>
  <c r="V24" i="1" s="1"/>
  <c r="U23" i="1"/>
  <c r="U21" i="1"/>
  <c r="V21" i="1" s="1"/>
  <c r="U20" i="1"/>
  <c r="V20" i="1" s="1"/>
  <c r="U17" i="1"/>
  <c r="V17" i="1" s="1"/>
  <c r="Q11" i="1"/>
  <c r="U11" i="1" s="1"/>
  <c r="U21" i="4" l="1"/>
  <c r="V21" i="4" s="1"/>
  <c r="V19" i="2"/>
  <c r="V23" i="2"/>
  <c r="U13" i="3"/>
  <c r="V13" i="3" s="1"/>
  <c r="U15" i="5"/>
  <c r="V15" i="5" s="1"/>
  <c r="U11" i="5"/>
  <c r="V11" i="5" s="1"/>
  <c r="U12" i="2"/>
  <c r="V12" i="2" s="1"/>
  <c r="V11" i="2"/>
  <c r="U15" i="2"/>
  <c r="V15" i="2" s="1"/>
  <c r="V19" i="1"/>
  <c r="U15" i="1"/>
  <c r="V15" i="1" s="1"/>
  <c r="V19" i="6"/>
  <c r="U15" i="6"/>
  <c r="V15" i="6" s="1"/>
  <c r="U19" i="6"/>
  <c r="U23" i="6"/>
  <c r="V23" i="6" s="1"/>
  <c r="U14" i="6"/>
  <c r="V14" i="6" s="1"/>
  <c r="U18" i="6"/>
  <c r="V18" i="6" s="1"/>
  <c r="U22" i="6"/>
  <c r="V22" i="6" s="1"/>
  <c r="U14" i="5"/>
  <c r="V14" i="5" s="1"/>
  <c r="U18" i="5"/>
  <c r="V18" i="5" s="1"/>
  <c r="U22" i="5"/>
  <c r="V22" i="5" s="1"/>
  <c r="U26" i="5"/>
  <c r="V26" i="5" s="1"/>
  <c r="U21" i="5"/>
  <c r="V21" i="5" s="1"/>
  <c r="U25" i="5"/>
  <c r="V25" i="5" s="1"/>
  <c r="U15" i="4"/>
  <c r="V15" i="4" s="1"/>
  <c r="U19" i="4"/>
  <c r="V19" i="4" s="1"/>
  <c r="U14" i="4"/>
  <c r="V14" i="4" s="1"/>
  <c r="U18" i="4"/>
  <c r="V18" i="4" s="1"/>
  <c r="U22" i="4"/>
  <c r="V22" i="4" s="1"/>
  <c r="V23" i="4"/>
  <c r="U26" i="4"/>
  <c r="V26" i="4" s="1"/>
  <c r="V27" i="4"/>
  <c r="U14" i="3"/>
  <c r="V14" i="3" s="1"/>
  <c r="V15" i="3"/>
  <c r="U18" i="3"/>
  <c r="V18" i="3" s="1"/>
  <c r="V19" i="3"/>
  <c r="U22" i="3"/>
  <c r="V22" i="3" s="1"/>
  <c r="V23" i="3"/>
  <c r="U26" i="3"/>
  <c r="V26" i="3" s="1"/>
  <c r="V27" i="3"/>
  <c r="V26" i="2"/>
  <c r="U14" i="2"/>
  <c r="V14" i="2" s="1"/>
  <c r="U18" i="2"/>
  <c r="V18" i="2" s="1"/>
  <c r="U22" i="2"/>
  <c r="V22" i="2" s="1"/>
  <c r="U26" i="2"/>
  <c r="U25" i="2"/>
  <c r="V25" i="2" s="1"/>
  <c r="V11" i="1"/>
  <c r="U18" i="1"/>
  <c r="V18" i="1" s="1"/>
  <c r="U22" i="1"/>
  <c r="V22" i="1" s="1"/>
  <c r="U26" i="1"/>
  <c r="V26" i="1" s="1"/>
  <c r="V25" i="6" l="1"/>
  <c r="V27" i="6" s="1"/>
  <c r="V29" i="6" s="1"/>
  <c r="V27" i="5"/>
  <c r="V29" i="5" s="1"/>
  <c r="V31" i="5" s="1"/>
  <c r="V28" i="4"/>
  <c r="V30" i="4" s="1"/>
  <c r="V32" i="4" s="1"/>
  <c r="V28" i="3"/>
  <c r="V30" i="3" s="1"/>
  <c r="V32" i="3" s="1"/>
  <c r="V27" i="2"/>
  <c r="V29" i="2" s="1"/>
  <c r="V31" i="2" s="1"/>
  <c r="V27" i="1"/>
  <c r="V29" i="1" s="1"/>
  <c r="V31" i="1" s="1"/>
</calcChain>
</file>

<file path=xl/sharedStrings.xml><?xml version="1.0" encoding="utf-8"?>
<sst xmlns="http://schemas.openxmlformats.org/spreadsheetml/2006/main" count="388" uniqueCount="102">
  <si>
    <t>JMC Limousine LLC DBA JMC Transportation</t>
  </si>
  <si>
    <t>CPCN 2306</t>
  </si>
  <si>
    <t xml:space="preserve">  </t>
  </si>
  <si>
    <t>Driver's Name</t>
  </si>
  <si>
    <t xml:space="preserve">Jorge M. Garcia </t>
  </si>
  <si>
    <t>Vehicle #</t>
  </si>
  <si>
    <t>04</t>
  </si>
  <si>
    <t>Star Time</t>
  </si>
  <si>
    <t>AM</t>
  </si>
  <si>
    <t>Date</t>
  </si>
  <si>
    <t>Emp #</t>
  </si>
  <si>
    <t>01</t>
  </si>
  <si>
    <t>End Time</t>
  </si>
  <si>
    <t>PM</t>
  </si>
  <si>
    <t>RESERVATION #</t>
  </si>
  <si>
    <t>PAX NAME</t>
  </si>
  <si>
    <t>P/U TIME</t>
  </si>
  <si>
    <t>P/U LOC</t>
  </si>
  <si>
    <t>D/O TIME</t>
  </si>
  <si>
    <t>D/O LOC</t>
  </si>
  <si>
    <t>PAX</t>
  </si>
  <si>
    <t>HOURS</t>
  </si>
  <si>
    <t xml:space="preserve">FARE </t>
  </si>
  <si>
    <t>FUEL</t>
  </si>
  <si>
    <t>AIRPORT</t>
  </si>
  <si>
    <t>M&amp;G</t>
  </si>
  <si>
    <t>3% TAX</t>
  </si>
  <si>
    <t>GRAND</t>
  </si>
  <si>
    <t>S/HR</t>
  </si>
  <si>
    <t>FEE</t>
  </si>
  <si>
    <t>TIP</t>
  </si>
  <si>
    <t>TOTAL</t>
  </si>
  <si>
    <t>Airport</t>
  </si>
  <si>
    <t>BREAK LOG</t>
  </si>
  <si>
    <t>ACTUAL MILEAGE</t>
  </si>
  <si>
    <t>GAS LOG</t>
  </si>
  <si>
    <t>(-) GAS</t>
  </si>
  <si>
    <t>STAR</t>
  </si>
  <si>
    <t>END</t>
  </si>
  <si>
    <t>INITIAL</t>
  </si>
  <si>
    <t>START</t>
  </si>
  <si>
    <t>GALS</t>
  </si>
  <si>
    <t>COST</t>
  </si>
  <si>
    <t>SUB-TOTAL</t>
  </si>
  <si>
    <t>DRIVER ATM</t>
  </si>
  <si>
    <t>TOTAL TO CO.</t>
  </si>
  <si>
    <t xml:space="preserve">THIS TRIP LOG IS A COMPLETE &amp; ACCURATE REPORT </t>
  </si>
  <si>
    <t>SIGNATURE:</t>
  </si>
  <si>
    <t>Armando Alvarez</t>
  </si>
  <si>
    <t>05</t>
  </si>
  <si>
    <t>7:30</t>
  </si>
  <si>
    <t>8:00</t>
  </si>
  <si>
    <t>MGM Grand</t>
  </si>
  <si>
    <t>02</t>
  </si>
  <si>
    <t>08</t>
  </si>
  <si>
    <t>Felix Gomez</t>
  </si>
  <si>
    <t>Charles E Sexauer</t>
  </si>
  <si>
    <t>08020520251</t>
  </si>
  <si>
    <t>040509202401</t>
  </si>
  <si>
    <t xml:space="preserve">Juan Greer </t>
  </si>
  <si>
    <t>Dave Allen</t>
  </si>
  <si>
    <t>Linq</t>
  </si>
  <si>
    <t>10</t>
  </si>
  <si>
    <t>Taylor Patterson</t>
  </si>
  <si>
    <t>Karen Ochoa</t>
  </si>
  <si>
    <t>Anthony Foster</t>
  </si>
  <si>
    <t>Ryan Baker</t>
  </si>
  <si>
    <t>Club Wyndham-Grand Desert</t>
  </si>
  <si>
    <t xml:space="preserve">Flamingo </t>
  </si>
  <si>
    <t>NYNY</t>
  </si>
  <si>
    <t>Club Wyndham</t>
  </si>
  <si>
    <t>11:00</t>
  </si>
  <si>
    <t>12052025-1</t>
  </si>
  <si>
    <t>12052025-2</t>
  </si>
  <si>
    <t>Tyler Davis</t>
  </si>
  <si>
    <t>Denise Gilman (Ken Gilman)</t>
  </si>
  <si>
    <t xml:space="preserve">Denise Gilman </t>
  </si>
  <si>
    <t>DL 2278</t>
  </si>
  <si>
    <t>AS 612     cobrado</t>
  </si>
  <si>
    <t>Bellagio</t>
  </si>
  <si>
    <t>Caesars Palace</t>
  </si>
  <si>
    <t>8:45</t>
  </si>
  <si>
    <t>9:30</t>
  </si>
  <si>
    <t>12052025-4</t>
  </si>
  <si>
    <t>12052025-5</t>
  </si>
  <si>
    <t>Taylor Brown</t>
  </si>
  <si>
    <t>Brighlon Kilpatrick</t>
  </si>
  <si>
    <t>Resorts world - Conrad</t>
  </si>
  <si>
    <t>AA 3185 (4:39pm)</t>
  </si>
  <si>
    <t>Silverton Casino</t>
  </si>
  <si>
    <t xml:space="preserve">Resorts World </t>
  </si>
  <si>
    <t>Venetian</t>
  </si>
  <si>
    <t>3:30</t>
  </si>
  <si>
    <t>1:30</t>
  </si>
  <si>
    <t>12052025-6</t>
  </si>
  <si>
    <t>3212052025</t>
  </si>
  <si>
    <t>Amee Luttrell</t>
  </si>
  <si>
    <t>Heather Lingle</t>
  </si>
  <si>
    <t>The D</t>
  </si>
  <si>
    <t>UA 1840</t>
  </si>
  <si>
    <t>Convention Center</t>
  </si>
  <si>
    <t xml:space="preserve">Palazzo at Venetian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</si>
</sst>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0"/>
      <color theme="1"/>
      <name val="Calibri"/>
      <family val="2"/>
    </font>
    <font>
      <b/>
      <sz val="36"/>
      <color theme="1"/>
      <name val="Calibri"/>
      <family val="2"/>
    </font>
    <font>
      <b/>
      <sz val="20"/>
      <color theme="1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1" fillId="0" borderId="11" xfId="0" applyFont="1" applyBorder="1"/>
    <xf numFmtId="2" fontId="1" fillId="0" borderId="10" xfId="0" applyNumberFormat="1" applyFont="1" applyBorder="1"/>
    <xf numFmtId="2" fontId="1" fillId="0" borderId="12" xfId="0" applyNumberFormat="1" applyFont="1" applyBorder="1"/>
    <xf numFmtId="2" fontId="1" fillId="0" borderId="9" xfId="0" applyNumberFormat="1" applyFont="1" applyBorder="1"/>
    <xf numFmtId="2" fontId="1" fillId="0" borderId="11" xfId="0" applyNumberFormat="1" applyFont="1" applyBorder="1"/>
    <xf numFmtId="0" fontId="1" fillId="0" borderId="4" xfId="0" applyFont="1" applyBorder="1"/>
    <xf numFmtId="2" fontId="1" fillId="0" borderId="2" xfId="0" applyNumberFormat="1" applyFont="1" applyBorder="1"/>
    <xf numFmtId="2" fontId="1" fillId="0" borderId="4" xfId="0" applyNumberFormat="1" applyFont="1" applyBorder="1"/>
    <xf numFmtId="2" fontId="1" fillId="0" borderId="0" xfId="0" applyNumberFormat="1" applyFont="1"/>
    <xf numFmtId="0" fontId="1" fillId="0" borderId="9" xfId="0" applyFont="1" applyBorder="1"/>
    <xf numFmtId="0" fontId="1" fillId="0" borderId="7" xfId="0" applyFont="1" applyBorder="1"/>
    <xf numFmtId="0" fontId="1" fillId="0" borderId="5" xfId="0" applyFont="1" applyBorder="1"/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20" fontId="1" fillId="0" borderId="2" xfId="0" applyNumberFormat="1" applyFont="1" applyBorder="1"/>
    <xf numFmtId="20" fontId="1" fillId="0" borderId="4" xfId="0" applyNumberFormat="1" applyFont="1" applyBorder="1"/>
    <xf numFmtId="0" fontId="1" fillId="0" borderId="3" xfId="0" applyFont="1" applyBorder="1"/>
    <xf numFmtId="2" fontId="5" fillId="0" borderId="5" xfId="0" applyNumberFormat="1" applyFont="1" applyBorder="1"/>
    <xf numFmtId="2" fontId="4" fillId="0" borderId="7" xfId="0" applyNumberFormat="1" applyFont="1" applyBorder="1"/>
    <xf numFmtId="2" fontId="1" fillId="0" borderId="5" xfId="0" applyNumberFormat="1" applyFont="1" applyBorder="1"/>
    <xf numFmtId="2" fontId="5" fillId="0" borderId="7" xfId="0" applyNumberFormat="1" applyFont="1" applyBorder="1"/>
    <xf numFmtId="20" fontId="1" fillId="0" borderId="9" xfId="0" applyNumberFormat="1" applyFont="1" applyBorder="1"/>
    <xf numFmtId="20" fontId="1" fillId="0" borderId="11" xfId="0" applyNumberFormat="1" applyFont="1" applyBorder="1"/>
    <xf numFmtId="0" fontId="1" fillId="0" borderId="10" xfId="0" applyFont="1" applyBorder="1"/>
    <xf numFmtId="0" fontId="3" fillId="0" borderId="7" xfId="0" applyFont="1" applyBorder="1"/>
    <xf numFmtId="20" fontId="1" fillId="0" borderId="5" xfId="0" applyNumberFormat="1" applyFont="1" applyBorder="1"/>
    <xf numFmtId="20" fontId="1" fillId="0" borderId="7" xfId="0" applyNumberFormat="1" applyFont="1" applyBorder="1"/>
    <xf numFmtId="0" fontId="1" fillId="0" borderId="6" xfId="0" applyFont="1" applyBorder="1"/>
    <xf numFmtId="0" fontId="6" fillId="0" borderId="0" xfId="0" applyFont="1"/>
    <xf numFmtId="20" fontId="1" fillId="0" borderId="0" xfId="0" applyNumberFormat="1" applyFont="1"/>
    <xf numFmtId="0" fontId="5" fillId="0" borderId="11" xfId="0" applyFont="1" applyBorder="1"/>
    <xf numFmtId="2" fontId="5" fillId="0" borderId="10" xfId="0" applyNumberFormat="1" applyFont="1" applyBorder="1"/>
    <xf numFmtId="0" fontId="5" fillId="0" borderId="4" xfId="0" applyFont="1" applyBorder="1"/>
    <xf numFmtId="0" fontId="1" fillId="0" borderId="2" xfId="0" applyFont="1" applyBorder="1"/>
    <xf numFmtId="0" fontId="5" fillId="0" borderId="7" xfId="0" applyFont="1" applyBorder="1"/>
    <xf numFmtId="2" fontId="1" fillId="0" borderId="7" xfId="0" applyNumberFormat="1" applyFont="1" applyBorder="1"/>
    <xf numFmtId="20" fontId="1" fillId="0" borderId="6" xfId="0" applyNumberFormat="1" applyFont="1" applyBorder="1"/>
    <xf numFmtId="2" fontId="5" fillId="0" borderId="12" xfId="0" applyNumberFormat="1" applyFont="1" applyBorder="1"/>
    <xf numFmtId="2" fontId="5" fillId="0" borderId="9" xfId="0" applyNumberFormat="1" applyFont="1" applyBorder="1"/>
    <xf numFmtId="2" fontId="5" fillId="0" borderId="2" xfId="0" applyNumberFormat="1" applyFont="1" applyBorder="1"/>
    <xf numFmtId="2" fontId="5" fillId="0" borderId="6" xfId="0" applyNumberFormat="1" applyFont="1" applyBorder="1"/>
    <xf numFmtId="20" fontId="1" fillId="0" borderId="10" xfId="0" applyNumberFormat="1" applyFont="1" applyBorder="1"/>
    <xf numFmtId="0" fontId="7" fillId="0" borderId="0" xfId="0" applyFont="1"/>
    <xf numFmtId="20" fontId="1" fillId="0" borderId="3" xfId="0" applyNumberFormat="1" applyFont="1" applyBorder="1"/>
    <xf numFmtId="20" fontId="1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0" fontId="5" fillId="0" borderId="9" xfId="0" applyNumberFormat="1" applyFont="1" applyBorder="1" applyAlignment="1">
      <alignment horizontal="center"/>
    </xf>
    <xf numFmtId="20" fontId="5" fillId="0" borderId="10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4" fillId="0" borderId="9" xfId="0" applyNumberFormat="1" applyFont="1" applyBorder="1" applyAlignment="1">
      <alignment horizontal="center"/>
    </xf>
    <xf numFmtId="20" fontId="4" fillId="0" borderId="10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0" fontId="5" fillId="0" borderId="9" xfId="0" applyNumberFormat="1" applyFont="1" applyBorder="1" applyAlignment="1">
      <alignment horizontal="left"/>
    </xf>
    <xf numFmtId="20" fontId="5" fillId="0" borderId="10" xfId="0" applyNumberFormat="1" applyFont="1" applyBorder="1" applyAlignment="1">
      <alignment horizontal="left"/>
    </xf>
    <xf numFmtId="20" fontId="1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F30B-EB8C-4D90-80E8-AB1A8E6D6FB7}">
  <sheetPr>
    <pageSetUpPr fitToPage="1"/>
  </sheetPr>
  <dimension ref="A2:AN35"/>
  <sheetViews>
    <sheetView tabSelected="1" zoomScale="65" zoomScaleNormal="65" workbookViewId="0">
      <selection activeCell="AE20" sqref="AE20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1" style="1" customWidth="1"/>
    <col min="4" max="4" width="11.7109375" style="1" customWidth="1"/>
    <col min="5" max="5" width="16.7109375" style="1" customWidth="1"/>
    <col min="6" max="6" width="11.7109375" style="1" bestFit="1" customWidth="1"/>
    <col min="7" max="7" width="3.5703125" style="1" customWidth="1"/>
    <col min="8" max="8" width="9.140625" style="1"/>
    <col min="9" max="9" width="21.5703125" style="1" customWidth="1"/>
    <col min="10" max="11" width="9.140625" style="1"/>
    <col min="12" max="12" width="10.85546875" style="1" customWidth="1"/>
    <col min="13" max="13" width="17" style="1" bestFit="1" customWidth="1"/>
    <col min="14" max="14" width="10.140625" style="1" customWidth="1"/>
    <col min="15" max="15" width="15.140625" style="1" customWidth="1"/>
    <col min="16" max="16" width="12.85546875" style="1" bestFit="1" customWidth="1"/>
    <col min="17" max="17" width="12.7109375" style="1" bestFit="1" customWidth="1"/>
    <col min="18" max="18" width="15.7109375" style="1" customWidth="1"/>
    <col min="19" max="20" width="12.710937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2:40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2:40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5" spans="2:40" x14ac:dyDescent="0.4">
      <c r="B5" s="62" t="s">
        <v>3</v>
      </c>
      <c r="C5" s="62"/>
      <c r="D5" s="63" t="s">
        <v>4</v>
      </c>
      <c r="E5" s="63"/>
      <c r="F5" s="63"/>
      <c r="G5" s="63"/>
      <c r="I5" s="3" t="s">
        <v>5</v>
      </c>
      <c r="J5" s="64" t="s">
        <v>6</v>
      </c>
      <c r="K5" s="64"/>
      <c r="O5" s="44" t="s">
        <v>7</v>
      </c>
      <c r="P5" s="64" t="s">
        <v>81</v>
      </c>
      <c r="Q5" s="64"/>
      <c r="R5" s="6" t="s">
        <v>8</v>
      </c>
    </row>
    <row r="6" spans="2:40" x14ac:dyDescent="0.4">
      <c r="P6" s="45"/>
    </row>
    <row r="7" spans="2:40" x14ac:dyDescent="0.4">
      <c r="B7" s="62" t="s">
        <v>9</v>
      </c>
      <c r="C7" s="62"/>
      <c r="D7" s="67">
        <v>45996</v>
      </c>
      <c r="E7" s="67"/>
      <c r="F7" s="67"/>
      <c r="G7" s="67"/>
      <c r="I7" s="3" t="s">
        <v>10</v>
      </c>
      <c r="J7" s="64" t="s">
        <v>11</v>
      </c>
      <c r="K7" s="64"/>
      <c r="O7" s="44" t="s">
        <v>12</v>
      </c>
      <c r="P7" s="64" t="s">
        <v>82</v>
      </c>
      <c r="Q7" s="64"/>
      <c r="R7" s="6" t="s">
        <v>13</v>
      </c>
    </row>
    <row r="8" spans="2:40" ht="27" thickBot="1" x14ac:dyDescent="0.45"/>
    <row r="9" spans="2:40" x14ac:dyDescent="0.4">
      <c r="B9" s="68" t="s">
        <v>14</v>
      </c>
      <c r="C9" s="69"/>
      <c r="D9" s="68" t="s">
        <v>15</v>
      </c>
      <c r="E9" s="69"/>
      <c r="F9" s="68" t="s">
        <v>16</v>
      </c>
      <c r="G9" s="69"/>
      <c r="H9" s="68" t="s">
        <v>17</v>
      </c>
      <c r="I9" s="69"/>
      <c r="J9" s="68" t="s">
        <v>18</v>
      </c>
      <c r="K9" s="69"/>
      <c r="L9" s="68" t="s">
        <v>19</v>
      </c>
      <c r="M9" s="69"/>
      <c r="N9" s="65" t="s">
        <v>20</v>
      </c>
      <c r="O9" s="65" t="s">
        <v>21</v>
      </c>
      <c r="P9" s="7" t="s">
        <v>22</v>
      </c>
      <c r="Q9" s="65" t="s">
        <v>23</v>
      </c>
      <c r="R9" s="8" t="s">
        <v>24</v>
      </c>
      <c r="S9" s="9"/>
      <c r="T9" s="65" t="s">
        <v>25</v>
      </c>
      <c r="U9" s="65" t="s">
        <v>26</v>
      </c>
      <c r="V9" s="7" t="s">
        <v>27</v>
      </c>
    </row>
    <row r="10" spans="2:40" ht="27" thickBot="1" x14ac:dyDescent="0.45">
      <c r="B10" s="70"/>
      <c r="C10" s="71"/>
      <c r="D10" s="70"/>
      <c r="E10" s="71"/>
      <c r="F10" s="70"/>
      <c r="G10" s="71"/>
      <c r="H10" s="70"/>
      <c r="I10" s="71"/>
      <c r="J10" s="70"/>
      <c r="K10" s="71"/>
      <c r="L10" s="70"/>
      <c r="M10" s="71"/>
      <c r="N10" s="66"/>
      <c r="O10" s="66"/>
      <c r="P10" s="10" t="s">
        <v>28</v>
      </c>
      <c r="Q10" s="66"/>
      <c r="R10" s="11" t="s">
        <v>29</v>
      </c>
      <c r="S10" s="11" t="s">
        <v>30</v>
      </c>
      <c r="T10" s="66"/>
      <c r="U10" s="66"/>
      <c r="V10" s="12" t="s">
        <v>31</v>
      </c>
    </row>
    <row r="11" spans="2:40" ht="27" thickBot="1" x14ac:dyDescent="0.45">
      <c r="B11" s="72" t="s">
        <v>72</v>
      </c>
      <c r="C11" s="73" t="s">
        <v>72</v>
      </c>
      <c r="D11" s="74" t="s">
        <v>74</v>
      </c>
      <c r="E11" s="75" t="s">
        <v>74</v>
      </c>
      <c r="F11" s="74">
        <v>0.38333333333333336</v>
      </c>
      <c r="G11" s="75">
        <v>0.38333333333333336</v>
      </c>
      <c r="H11" s="76" t="s">
        <v>32</v>
      </c>
      <c r="I11" s="77" t="s">
        <v>77</v>
      </c>
      <c r="J11" s="74">
        <v>0.42499999999999999</v>
      </c>
      <c r="K11" s="75"/>
      <c r="L11" s="74" t="s">
        <v>79</v>
      </c>
      <c r="M11" s="75" t="s">
        <v>79</v>
      </c>
      <c r="N11" s="46">
        <v>2</v>
      </c>
      <c r="O11" s="46">
        <v>1</v>
      </c>
      <c r="P11" s="47">
        <v>125</v>
      </c>
      <c r="Q11" s="15">
        <f>O11*6</f>
        <v>6</v>
      </c>
      <c r="R11" s="16">
        <v>12</v>
      </c>
      <c r="S11" s="16"/>
      <c r="T11" s="17"/>
      <c r="U11" s="16">
        <f>0.03*(P11+Q11+R11+T11)</f>
        <v>4.29</v>
      </c>
      <c r="V11" s="17">
        <f t="shared" ref="V11:V26" si="0">P11+Q11+R11+S11+T11+U11</f>
        <v>147.29</v>
      </c>
    </row>
    <row r="12" spans="2:40" ht="27" thickBot="1" x14ac:dyDescent="0.45">
      <c r="B12" s="72" t="s">
        <v>73</v>
      </c>
      <c r="C12" s="73" t="s">
        <v>73</v>
      </c>
      <c r="D12" s="74" t="s">
        <v>76</v>
      </c>
      <c r="E12" s="75" t="s">
        <v>75</v>
      </c>
      <c r="F12" s="74">
        <v>5.2083333333333336E-2</v>
      </c>
      <c r="G12" s="75">
        <v>5.2083333333333336E-2</v>
      </c>
      <c r="H12" s="76" t="s">
        <v>32</v>
      </c>
      <c r="I12" s="77" t="s">
        <v>78</v>
      </c>
      <c r="J12" s="74">
        <v>9.375E-2</v>
      </c>
      <c r="K12" s="75"/>
      <c r="L12" s="74" t="s">
        <v>80</v>
      </c>
      <c r="M12" s="75" t="s">
        <v>80</v>
      </c>
      <c r="N12" s="46">
        <v>3</v>
      </c>
      <c r="O12" s="46">
        <v>1</v>
      </c>
      <c r="P12" s="47">
        <v>125</v>
      </c>
      <c r="Q12" s="15">
        <f t="shared" ref="Q12:Q26" si="1">O12*6</f>
        <v>6</v>
      </c>
      <c r="R12" s="16">
        <v>12</v>
      </c>
      <c r="S12" s="16"/>
      <c r="T12" s="17">
        <v>10</v>
      </c>
      <c r="U12" s="16">
        <f t="shared" ref="U12:U19" si="2">0.03*(P12+Q12+R12+T12)</f>
        <v>4.59</v>
      </c>
      <c r="V12" s="17">
        <f>P12+Q12+R12+S12+T12+U12</f>
        <v>157.59</v>
      </c>
    </row>
    <row r="13" spans="2:40" ht="27" thickBot="1" x14ac:dyDescent="0.45">
      <c r="B13" s="72"/>
      <c r="C13" s="73"/>
      <c r="D13" s="80"/>
      <c r="E13" s="81"/>
      <c r="F13" s="74"/>
      <c r="G13" s="75"/>
      <c r="H13" s="76"/>
      <c r="I13" s="77"/>
      <c r="J13" s="74"/>
      <c r="K13" s="75"/>
      <c r="L13" s="74"/>
      <c r="M13" s="75"/>
      <c r="N13" s="46"/>
      <c r="O13" s="46"/>
      <c r="P13" s="47"/>
      <c r="Q13" s="15">
        <f t="shared" si="1"/>
        <v>0</v>
      </c>
      <c r="R13" s="16"/>
      <c r="S13" s="16"/>
      <c r="T13" s="17"/>
      <c r="U13" s="16">
        <f>0.03*(P13+Q13+R13+T13)</f>
        <v>0</v>
      </c>
      <c r="V13" s="17">
        <f>P13+Q13+R13+S13+T13+U13</f>
        <v>0</v>
      </c>
      <c r="W13" s="78"/>
      <c r="X13" s="78"/>
      <c r="Y13" s="79"/>
      <c r="Z13" s="79"/>
      <c r="AA13" s="78"/>
      <c r="AB13" s="78"/>
      <c r="AC13" s="79"/>
      <c r="AD13" s="79"/>
      <c r="AE13" s="78"/>
      <c r="AF13" s="78"/>
      <c r="AI13" s="21"/>
      <c r="AJ13" s="21"/>
      <c r="AK13" s="21"/>
      <c r="AL13" s="21"/>
      <c r="AM13" s="21"/>
      <c r="AN13" s="21"/>
    </row>
    <row r="14" spans="2:40" ht="27" thickBot="1" x14ac:dyDescent="0.45">
      <c r="B14" s="72"/>
      <c r="C14" s="73"/>
      <c r="D14" s="74"/>
      <c r="E14" s="75"/>
      <c r="F14" s="74"/>
      <c r="G14" s="75"/>
      <c r="H14" s="76"/>
      <c r="I14" s="77"/>
      <c r="J14" s="74"/>
      <c r="K14" s="75"/>
      <c r="L14" s="74"/>
      <c r="M14" s="77"/>
      <c r="N14" s="46"/>
      <c r="O14" s="46"/>
      <c r="P14" s="47"/>
      <c r="Q14" s="15">
        <f t="shared" si="1"/>
        <v>0</v>
      </c>
      <c r="R14" s="16"/>
      <c r="S14" s="16"/>
      <c r="T14" s="17"/>
      <c r="U14" s="16">
        <f t="shared" si="2"/>
        <v>0</v>
      </c>
      <c r="V14" s="17">
        <f t="shared" si="0"/>
        <v>0</v>
      </c>
    </row>
    <row r="15" spans="2:40" ht="27" thickBot="1" x14ac:dyDescent="0.45">
      <c r="B15" s="72"/>
      <c r="C15" s="73"/>
      <c r="D15" s="74"/>
      <c r="E15" s="75"/>
      <c r="F15" s="74"/>
      <c r="G15" s="75"/>
      <c r="H15" s="74"/>
      <c r="I15" s="75"/>
      <c r="J15" s="74"/>
      <c r="K15" s="75"/>
      <c r="L15" s="76"/>
      <c r="M15" s="77"/>
      <c r="N15" s="46"/>
      <c r="O15" s="46"/>
      <c r="P15" s="47"/>
      <c r="Q15" s="15">
        <f t="shared" si="1"/>
        <v>0</v>
      </c>
      <c r="R15" s="16"/>
      <c r="S15" s="16"/>
      <c r="T15" s="17"/>
      <c r="U15" s="16">
        <f t="shared" si="2"/>
        <v>0</v>
      </c>
      <c r="V15" s="17">
        <f t="shared" si="0"/>
        <v>0</v>
      </c>
    </row>
    <row r="16" spans="2:40" ht="27" thickBot="1" x14ac:dyDescent="0.45">
      <c r="B16" s="72"/>
      <c r="C16" s="73"/>
      <c r="D16" s="74"/>
      <c r="E16" s="75"/>
      <c r="F16" s="74"/>
      <c r="G16" s="75"/>
      <c r="H16" s="76"/>
      <c r="I16" s="77"/>
      <c r="J16" s="74"/>
      <c r="K16" s="75"/>
      <c r="L16" s="76"/>
      <c r="M16" s="77"/>
      <c r="N16" s="48"/>
      <c r="O16" s="48"/>
      <c r="P16" s="47"/>
      <c r="Q16" s="15">
        <f t="shared" si="1"/>
        <v>0</v>
      </c>
      <c r="R16" s="19"/>
      <c r="S16" s="19"/>
      <c r="T16" s="20"/>
      <c r="U16" s="17">
        <f t="shared" si="2"/>
        <v>0</v>
      </c>
      <c r="V16" s="17">
        <f t="shared" si="0"/>
        <v>0</v>
      </c>
    </row>
    <row r="17" spans="1:22" ht="27" thickBot="1" x14ac:dyDescent="0.45">
      <c r="B17" s="72"/>
      <c r="C17" s="73"/>
      <c r="D17" s="82"/>
      <c r="E17" s="83"/>
      <c r="F17" s="74"/>
      <c r="G17" s="75"/>
      <c r="H17" s="76"/>
      <c r="I17" s="77"/>
      <c r="J17" s="74"/>
      <c r="K17" s="75"/>
      <c r="L17" s="76"/>
      <c r="M17" s="77"/>
      <c r="N17" s="48"/>
      <c r="O17" s="48"/>
      <c r="P17" s="47"/>
      <c r="Q17" s="15">
        <f t="shared" si="1"/>
        <v>0</v>
      </c>
      <c r="R17" s="19"/>
      <c r="S17" s="49"/>
      <c r="T17" s="20"/>
      <c r="U17" s="17">
        <f t="shared" si="2"/>
        <v>0</v>
      </c>
      <c r="V17" s="17">
        <f t="shared" si="0"/>
        <v>0</v>
      </c>
    </row>
    <row r="18" spans="1:22" ht="27" thickBot="1" x14ac:dyDescent="0.45">
      <c r="B18" s="72"/>
      <c r="C18" s="73"/>
      <c r="D18" s="82"/>
      <c r="E18" s="83"/>
      <c r="F18" s="74"/>
      <c r="G18" s="77"/>
      <c r="H18" s="76"/>
      <c r="I18" s="77"/>
      <c r="J18" s="74"/>
      <c r="K18" s="77"/>
      <c r="L18" s="76"/>
      <c r="M18" s="77"/>
      <c r="N18" s="48"/>
      <c r="O18" s="48"/>
      <c r="P18" s="47"/>
      <c r="Q18" s="15">
        <f t="shared" si="1"/>
        <v>0</v>
      </c>
      <c r="R18" s="49"/>
      <c r="S18" s="49"/>
      <c r="T18" s="18"/>
      <c r="U18" s="17">
        <f t="shared" si="2"/>
        <v>0</v>
      </c>
      <c r="V18" s="17">
        <f t="shared" si="0"/>
        <v>0</v>
      </c>
    </row>
    <row r="19" spans="1:22" ht="27" thickBot="1" x14ac:dyDescent="0.45">
      <c r="B19" s="72"/>
      <c r="C19" s="73"/>
      <c r="D19" s="82"/>
      <c r="E19" s="83"/>
      <c r="F19" s="76"/>
      <c r="G19" s="77"/>
      <c r="H19" s="76"/>
      <c r="I19" s="77"/>
      <c r="J19" s="76"/>
      <c r="K19" s="77"/>
      <c r="L19" s="76"/>
      <c r="M19" s="77"/>
      <c r="N19" s="48"/>
      <c r="O19" s="48"/>
      <c r="P19" s="47"/>
      <c r="Q19" s="15">
        <f t="shared" si="1"/>
        <v>0</v>
      </c>
      <c r="R19" s="49"/>
      <c r="S19" s="49"/>
      <c r="T19" s="18"/>
      <c r="U19" s="17">
        <f t="shared" si="2"/>
        <v>0</v>
      </c>
      <c r="V19" s="17">
        <f t="shared" si="0"/>
        <v>0</v>
      </c>
    </row>
    <row r="20" spans="1:22" ht="27" thickBot="1" x14ac:dyDescent="0.45">
      <c r="B20" s="72"/>
      <c r="C20" s="73"/>
      <c r="D20" s="82"/>
      <c r="E20" s="83"/>
      <c r="F20" s="76"/>
      <c r="G20" s="77"/>
      <c r="H20" s="76"/>
      <c r="I20" s="77"/>
      <c r="J20" s="76"/>
      <c r="K20" s="77"/>
      <c r="L20" s="76"/>
      <c r="M20" s="77"/>
      <c r="N20" s="46"/>
      <c r="O20" s="46"/>
      <c r="P20" s="47"/>
      <c r="Q20" s="15">
        <f t="shared" si="1"/>
        <v>0</v>
      </c>
      <c r="R20" s="22"/>
      <c r="S20" s="22"/>
      <c r="T20" s="13"/>
      <c r="U20" s="17">
        <f t="shared" ref="U20:U26" si="3">(P20+Q20+R20+T20)*0.03</f>
        <v>0</v>
      </c>
      <c r="V20" s="17">
        <f t="shared" si="0"/>
        <v>0</v>
      </c>
    </row>
    <row r="21" spans="1:22" ht="27" thickBot="1" x14ac:dyDescent="0.45">
      <c r="B21" s="72"/>
      <c r="C21" s="73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50"/>
      <c r="O21" s="50"/>
      <c r="P21" s="47"/>
      <c r="Q21" s="15">
        <f t="shared" si="1"/>
        <v>0</v>
      </c>
      <c r="R21" s="24"/>
      <c r="S21" s="24"/>
      <c r="T21" s="23"/>
      <c r="U21" s="17">
        <f t="shared" si="3"/>
        <v>0</v>
      </c>
      <c r="V21" s="17">
        <f t="shared" si="0"/>
        <v>0</v>
      </c>
    </row>
    <row r="22" spans="1:22" ht="27" thickBot="1" x14ac:dyDescent="0.45">
      <c r="B22" s="72"/>
      <c r="C22" s="73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50"/>
      <c r="O22" s="50"/>
      <c r="P22" s="47"/>
      <c r="Q22" s="15">
        <f t="shared" si="1"/>
        <v>0</v>
      </c>
      <c r="R22" s="24"/>
      <c r="S22" s="24"/>
      <c r="T22" s="23"/>
      <c r="U22" s="17">
        <f t="shared" si="3"/>
        <v>0</v>
      </c>
      <c r="V22" s="17">
        <f t="shared" si="0"/>
        <v>0</v>
      </c>
    </row>
    <row r="23" spans="1:22" ht="27" thickBot="1" x14ac:dyDescent="0.45">
      <c r="B23" s="84"/>
      <c r="C23" s="85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50"/>
      <c r="O23" s="50"/>
      <c r="P23" s="47"/>
      <c r="Q23" s="15">
        <f t="shared" si="1"/>
        <v>0</v>
      </c>
      <c r="R23" s="24"/>
      <c r="S23" s="24"/>
      <c r="T23" s="23"/>
      <c r="U23" s="17">
        <f t="shared" si="3"/>
        <v>0</v>
      </c>
      <c r="V23" s="17">
        <f t="shared" si="0"/>
        <v>0</v>
      </c>
    </row>
    <row r="24" spans="1:22" ht="27" thickBot="1" x14ac:dyDescent="0.45">
      <c r="B24" s="84"/>
      <c r="C24" s="85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50"/>
      <c r="O24" s="50"/>
      <c r="P24" s="47"/>
      <c r="Q24" s="15">
        <f t="shared" si="1"/>
        <v>0</v>
      </c>
      <c r="R24" s="24"/>
      <c r="S24" s="24"/>
      <c r="T24" s="23"/>
      <c r="U24" s="17">
        <f t="shared" si="3"/>
        <v>0</v>
      </c>
      <c r="V24" s="17">
        <f t="shared" si="0"/>
        <v>0</v>
      </c>
    </row>
    <row r="25" spans="1:22" ht="27" thickBot="1" x14ac:dyDescent="0.45">
      <c r="B25" s="86"/>
      <c r="C25" s="87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50"/>
      <c r="O25" s="50"/>
      <c r="P25" s="47"/>
      <c r="Q25" s="15">
        <f t="shared" si="1"/>
        <v>0</v>
      </c>
      <c r="R25" s="24"/>
      <c r="S25" s="24"/>
      <c r="T25" s="23"/>
      <c r="U25" s="17">
        <f t="shared" si="3"/>
        <v>0</v>
      </c>
      <c r="V25" s="17">
        <f t="shared" si="0"/>
        <v>0</v>
      </c>
    </row>
    <row r="26" spans="1:22" ht="27" thickBot="1" x14ac:dyDescent="0.45">
      <c r="B26" s="72"/>
      <c r="C26" s="73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46"/>
      <c r="O26" s="46"/>
      <c r="P26" s="46"/>
      <c r="Q26" s="15">
        <f t="shared" si="1"/>
        <v>0</v>
      </c>
      <c r="R26" s="13"/>
      <c r="S26" s="13"/>
      <c r="T26" s="13"/>
      <c r="U26" s="17">
        <f t="shared" si="3"/>
        <v>0</v>
      </c>
      <c r="V26" s="17">
        <f t="shared" si="0"/>
        <v>0</v>
      </c>
    </row>
    <row r="27" spans="1:22" ht="27" thickBot="1" x14ac:dyDescent="0.45">
      <c r="V27" s="17">
        <f>SUM(V11:V26)</f>
        <v>304.88</v>
      </c>
    </row>
    <row r="28" spans="1:22" ht="27" thickBot="1" x14ac:dyDescent="0.45">
      <c r="B28" s="90" t="s">
        <v>33</v>
      </c>
      <c r="C28" s="91"/>
      <c r="D28" s="92"/>
      <c r="F28" s="90" t="s">
        <v>34</v>
      </c>
      <c r="G28" s="91"/>
      <c r="H28" s="91"/>
      <c r="I28" s="92"/>
      <c r="L28" s="90" t="s">
        <v>35</v>
      </c>
      <c r="M28" s="92"/>
      <c r="T28" s="72" t="s">
        <v>36</v>
      </c>
      <c r="U28" s="73"/>
      <c r="V28" s="17">
        <f>M30</f>
        <v>30.46</v>
      </c>
    </row>
    <row r="29" spans="1:22" ht="27" thickBot="1" x14ac:dyDescent="0.45">
      <c r="B29" s="26" t="s">
        <v>37</v>
      </c>
      <c r="C29" s="8" t="s">
        <v>38</v>
      </c>
      <c r="D29" s="27" t="s">
        <v>39</v>
      </c>
      <c r="F29" s="28" t="s">
        <v>40</v>
      </c>
      <c r="G29" s="72">
        <v>25164</v>
      </c>
      <c r="H29" s="88"/>
      <c r="I29" s="73"/>
      <c r="L29" s="25" t="s">
        <v>41</v>
      </c>
      <c r="M29" s="29" t="s">
        <v>42</v>
      </c>
      <c r="T29" s="72" t="s">
        <v>43</v>
      </c>
      <c r="U29" s="73"/>
      <c r="V29" s="17">
        <f>V27-V28</f>
        <v>274.42</v>
      </c>
    </row>
    <row r="30" spans="1:22" ht="27" thickBot="1" x14ac:dyDescent="0.45">
      <c r="A30" s="45"/>
      <c r="B30" s="30">
        <v>0.4375</v>
      </c>
      <c r="C30" s="31">
        <v>0.45833333333333331</v>
      </c>
      <c r="D30" s="32"/>
      <c r="F30" s="28" t="s">
        <v>38</v>
      </c>
      <c r="G30" s="72">
        <v>25278</v>
      </c>
      <c r="H30" s="88"/>
      <c r="I30" s="73"/>
      <c r="L30" s="35">
        <v>7.8109999999999999</v>
      </c>
      <c r="M30" s="51">
        <v>30.46</v>
      </c>
      <c r="T30" s="72" t="s">
        <v>44</v>
      </c>
      <c r="U30" s="73"/>
      <c r="V30" s="13"/>
    </row>
    <row r="31" spans="1:22" ht="27" thickBot="1" x14ac:dyDescent="0.45">
      <c r="B31" s="37">
        <v>0.5</v>
      </c>
      <c r="C31" s="38">
        <v>4.1666666666666664E-2</v>
      </c>
      <c r="D31" s="39"/>
      <c r="F31" s="40" t="s">
        <v>31</v>
      </c>
      <c r="G31" s="72">
        <f>G30-G29</f>
        <v>114</v>
      </c>
      <c r="H31" s="88"/>
      <c r="I31" s="73"/>
      <c r="T31" s="72" t="s">
        <v>45</v>
      </c>
      <c r="U31" s="73"/>
      <c r="V31" s="17">
        <f>V29-V30</f>
        <v>274.42</v>
      </c>
    </row>
    <row r="32" spans="1:22" ht="27" thickBot="1" x14ac:dyDescent="0.45">
      <c r="B32" s="41">
        <v>0.29166666666666669</v>
      </c>
      <c r="C32" s="42">
        <v>0.3125</v>
      </c>
      <c r="D32" s="52"/>
    </row>
    <row r="34" spans="4:21" x14ac:dyDescent="0.4">
      <c r="D34" s="89" t="s">
        <v>46</v>
      </c>
      <c r="E34" s="89"/>
      <c r="F34" s="89"/>
      <c r="G34" s="89"/>
      <c r="H34" s="89"/>
      <c r="I34" s="89"/>
      <c r="J34" s="89"/>
      <c r="K34" s="89"/>
      <c r="M34" s="89" t="s">
        <v>47</v>
      </c>
      <c r="N34" s="89"/>
      <c r="O34" s="6"/>
      <c r="P34" s="6"/>
      <c r="Q34" s="6"/>
      <c r="R34" s="6"/>
      <c r="S34" s="6"/>
      <c r="T34" s="6"/>
      <c r="U34" s="6"/>
    </row>
    <row r="35" spans="4:21" x14ac:dyDescent="0.4">
      <c r="D35" s="89"/>
      <c r="E35" s="89"/>
      <c r="F35" s="89"/>
      <c r="G35" s="89"/>
      <c r="H35" s="89"/>
      <c r="I35" s="89"/>
      <c r="J35" s="89"/>
      <c r="K35" s="89"/>
      <c r="M35" s="89"/>
      <c r="N35" s="89"/>
    </row>
  </sheetData>
  <mergeCells count="134">
    <mergeCell ref="G30:I30"/>
    <mergeCell ref="T30:U30"/>
    <mergeCell ref="G31:I31"/>
    <mergeCell ref="T31:U31"/>
    <mergeCell ref="D34:K35"/>
    <mergeCell ref="M34:N35"/>
    <mergeCell ref="B28:D28"/>
    <mergeCell ref="F28:I28"/>
    <mergeCell ref="L28:M28"/>
    <mergeCell ref="T28:U28"/>
    <mergeCell ref="G29:I29"/>
    <mergeCell ref="T29:U29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L14:M14"/>
    <mergeCell ref="B15:C15"/>
    <mergeCell ref="D15:E15"/>
    <mergeCell ref="F15:G15"/>
    <mergeCell ref="H15:I15"/>
    <mergeCell ref="J15:K15"/>
    <mergeCell ref="L15:M15"/>
    <mergeCell ref="Y13:Z13"/>
    <mergeCell ref="AA13:AB13"/>
    <mergeCell ref="AC13:AD13"/>
    <mergeCell ref="AE13:AF13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N9:N10"/>
    <mergeCell ref="O9:O10"/>
    <mergeCell ref="W13:X13"/>
    <mergeCell ref="B11:C11"/>
    <mergeCell ref="D11:E11"/>
    <mergeCell ref="F11:G11"/>
    <mergeCell ref="H11:I11"/>
    <mergeCell ref="J11:K11"/>
    <mergeCell ref="L11:M11"/>
    <mergeCell ref="D2:O3"/>
    <mergeCell ref="Q2:U3"/>
    <mergeCell ref="B5:C5"/>
    <mergeCell ref="D5:G5"/>
    <mergeCell ref="J5:K5"/>
    <mergeCell ref="P5:Q5"/>
    <mergeCell ref="Q9:Q10"/>
    <mergeCell ref="T9:T10"/>
    <mergeCell ref="U9:U10"/>
    <mergeCell ref="B7:C7"/>
    <mergeCell ref="D7:G7"/>
    <mergeCell ref="J7:K7"/>
    <mergeCell ref="P7:Q7"/>
    <mergeCell ref="B9:C10"/>
    <mergeCell ref="D9:E10"/>
    <mergeCell ref="F9:G10"/>
    <mergeCell ref="H9:I10"/>
    <mergeCell ref="J9:K10"/>
    <mergeCell ref="L9:M10"/>
  </mergeCells>
  <pageMargins left="0.7" right="0.7" top="0.75" bottom="0.75" header="0.3" footer="0.3"/>
  <pageSetup scale="44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200E-B9FD-4BEA-98DF-24088079D4B8}">
  <sheetPr>
    <pageSetUpPr fitToPage="1"/>
  </sheetPr>
  <dimension ref="A2:AN35"/>
  <sheetViews>
    <sheetView topLeftCell="A2" zoomScale="65" zoomScaleNormal="65" workbookViewId="0">
      <selection activeCell="W13" sqref="W13:X13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4.140625" style="1" customWidth="1"/>
    <col min="4" max="4" width="11.7109375" style="1" customWidth="1"/>
    <col min="5" max="5" width="13.85546875" style="1" customWidth="1"/>
    <col min="6" max="6" width="11.7109375" style="1" bestFit="1" customWidth="1"/>
    <col min="7" max="7" width="5.5703125" style="1" customWidth="1"/>
    <col min="8" max="8" width="9.140625" style="1"/>
    <col min="9" max="9" width="21.5703125" style="1" customWidth="1"/>
    <col min="10" max="11" width="9.140625" style="1"/>
    <col min="12" max="12" width="10.85546875" style="1" customWidth="1"/>
    <col min="13" max="13" width="17" style="1" bestFit="1" customWidth="1"/>
    <col min="14" max="14" width="10.140625" style="1" customWidth="1"/>
    <col min="15" max="15" width="15.140625" style="1" customWidth="1"/>
    <col min="16" max="16" width="16.42578125" style="1" bestFit="1" customWidth="1"/>
    <col min="17" max="17" width="12.7109375" style="1" bestFit="1" customWidth="1"/>
    <col min="18" max="18" width="15.7109375" style="1" customWidth="1"/>
    <col min="19" max="20" width="12.710937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1:40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1:40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4" spans="1:40" x14ac:dyDescent="0.4">
      <c r="P4" s="45"/>
    </row>
    <row r="5" spans="1:40" x14ac:dyDescent="0.4">
      <c r="B5" s="62" t="s">
        <v>3</v>
      </c>
      <c r="C5" s="62"/>
      <c r="D5" s="63" t="s">
        <v>48</v>
      </c>
      <c r="E5" s="63"/>
      <c r="F5" s="63"/>
      <c r="G5" s="63"/>
      <c r="I5" s="3" t="s">
        <v>5</v>
      </c>
      <c r="J5" s="64" t="s">
        <v>49</v>
      </c>
      <c r="K5" s="64"/>
      <c r="O5" s="44" t="s">
        <v>7</v>
      </c>
      <c r="P5" s="64" t="s">
        <v>92</v>
      </c>
      <c r="Q5" s="64"/>
      <c r="R5" s="6" t="s">
        <v>13</v>
      </c>
    </row>
    <row r="6" spans="1:40" x14ac:dyDescent="0.4">
      <c r="P6" s="45"/>
      <c r="Q6" s="45"/>
    </row>
    <row r="7" spans="1:40" x14ac:dyDescent="0.4">
      <c r="B7" s="62" t="s">
        <v>9</v>
      </c>
      <c r="C7" s="62"/>
      <c r="D7" s="67">
        <v>45996</v>
      </c>
      <c r="E7" s="67"/>
      <c r="F7" s="67"/>
      <c r="G7" s="67"/>
      <c r="I7" s="3" t="s">
        <v>10</v>
      </c>
      <c r="J7" s="64" t="s">
        <v>49</v>
      </c>
      <c r="K7" s="64"/>
      <c r="O7" s="44" t="s">
        <v>12</v>
      </c>
      <c r="P7" s="64" t="s">
        <v>93</v>
      </c>
      <c r="Q7" s="64"/>
      <c r="R7" s="6" t="s">
        <v>8</v>
      </c>
    </row>
    <row r="8" spans="1:40" ht="27" thickBot="1" x14ac:dyDescent="0.45"/>
    <row r="9" spans="1:40" x14ac:dyDescent="0.4">
      <c r="B9" s="68" t="s">
        <v>14</v>
      </c>
      <c r="C9" s="69"/>
      <c r="D9" s="68" t="s">
        <v>15</v>
      </c>
      <c r="E9" s="69"/>
      <c r="F9" s="68" t="s">
        <v>16</v>
      </c>
      <c r="G9" s="69"/>
      <c r="H9" s="68" t="s">
        <v>17</v>
      </c>
      <c r="I9" s="69"/>
      <c r="J9" s="68" t="s">
        <v>18</v>
      </c>
      <c r="K9" s="69"/>
      <c r="L9" s="68" t="s">
        <v>19</v>
      </c>
      <c r="M9" s="69"/>
      <c r="N9" s="65" t="s">
        <v>20</v>
      </c>
      <c r="O9" s="65" t="s">
        <v>21</v>
      </c>
      <c r="P9" s="7" t="s">
        <v>22</v>
      </c>
      <c r="Q9" s="65" t="s">
        <v>23</v>
      </c>
      <c r="R9" s="8" t="s">
        <v>24</v>
      </c>
      <c r="S9" s="9">
        <v>0.2</v>
      </c>
      <c r="T9" s="65" t="s">
        <v>25</v>
      </c>
      <c r="U9" s="65" t="s">
        <v>26</v>
      </c>
      <c r="V9" s="7" t="s">
        <v>27</v>
      </c>
    </row>
    <row r="10" spans="1:40" ht="27" thickBot="1" x14ac:dyDescent="0.45">
      <c r="B10" s="70"/>
      <c r="C10" s="71"/>
      <c r="D10" s="70"/>
      <c r="E10" s="71"/>
      <c r="F10" s="70"/>
      <c r="G10" s="71"/>
      <c r="H10" s="70"/>
      <c r="I10" s="71"/>
      <c r="J10" s="70"/>
      <c r="K10" s="71"/>
      <c r="L10" s="70"/>
      <c r="M10" s="71"/>
      <c r="N10" s="66"/>
      <c r="O10" s="66"/>
      <c r="P10" s="10" t="s">
        <v>28</v>
      </c>
      <c r="Q10" s="66"/>
      <c r="R10" s="11" t="s">
        <v>29</v>
      </c>
      <c r="S10" s="11" t="s">
        <v>30</v>
      </c>
      <c r="T10" s="66"/>
      <c r="U10" s="66"/>
      <c r="V10" s="12" t="s">
        <v>31</v>
      </c>
    </row>
    <row r="11" spans="1:40" ht="27" thickBot="1" x14ac:dyDescent="0.45">
      <c r="B11" s="72" t="s">
        <v>83</v>
      </c>
      <c r="C11" s="73" t="s">
        <v>83</v>
      </c>
      <c r="D11" s="74" t="s">
        <v>85</v>
      </c>
      <c r="E11" s="75" t="s">
        <v>85</v>
      </c>
      <c r="F11" s="74">
        <v>0.16666666666666666</v>
      </c>
      <c r="G11" s="75">
        <v>0.16666666666666666</v>
      </c>
      <c r="H11" s="74" t="s">
        <v>90</v>
      </c>
      <c r="I11" s="75" t="s">
        <v>87</v>
      </c>
      <c r="J11" s="74">
        <v>0.20833333333333334</v>
      </c>
      <c r="K11" s="75"/>
      <c r="L11" s="74" t="s">
        <v>89</v>
      </c>
      <c r="M11" s="75" t="s">
        <v>89</v>
      </c>
      <c r="N11" s="46">
        <v>7</v>
      </c>
      <c r="O11" s="46">
        <v>2</v>
      </c>
      <c r="P11" s="47">
        <v>250</v>
      </c>
      <c r="Q11" s="15">
        <f>O11*6</f>
        <v>12</v>
      </c>
      <c r="R11" s="16"/>
      <c r="S11" s="16">
        <v>62.5</v>
      </c>
      <c r="T11" s="17">
        <v>10</v>
      </c>
      <c r="U11" s="16">
        <f>0.03*(P11+Q11+R11+T11)</f>
        <v>8.16</v>
      </c>
      <c r="V11" s="17">
        <f t="shared" ref="V11:V26" si="0">P11+Q11+R11+S11+T11+U11</f>
        <v>342.66</v>
      </c>
    </row>
    <row r="12" spans="1:40" ht="27" thickBot="1" x14ac:dyDescent="0.45">
      <c r="A12" s="1" t="s">
        <v>2</v>
      </c>
      <c r="B12" s="72" t="s">
        <v>84</v>
      </c>
      <c r="C12" s="73" t="s">
        <v>84</v>
      </c>
      <c r="D12" s="74" t="s">
        <v>86</v>
      </c>
      <c r="E12" s="75" t="s">
        <v>86</v>
      </c>
      <c r="F12" s="74">
        <v>0.20833333333333334</v>
      </c>
      <c r="G12" s="75">
        <v>0.20833333333333334</v>
      </c>
      <c r="H12" s="74" t="s">
        <v>32</v>
      </c>
      <c r="I12" s="75" t="s">
        <v>88</v>
      </c>
      <c r="J12" s="74">
        <v>0.25</v>
      </c>
      <c r="K12" s="75"/>
      <c r="L12" s="74" t="s">
        <v>91</v>
      </c>
      <c r="M12" s="75" t="s">
        <v>91</v>
      </c>
      <c r="N12" s="46">
        <v>7</v>
      </c>
      <c r="O12" s="46">
        <v>1</v>
      </c>
      <c r="P12" s="47">
        <v>125</v>
      </c>
      <c r="Q12" s="15">
        <f t="shared" ref="Q12:Q19" si="1">O12*6</f>
        <v>6</v>
      </c>
      <c r="R12" s="16">
        <v>12</v>
      </c>
      <c r="S12" s="16"/>
      <c r="T12" s="17">
        <v>10</v>
      </c>
      <c r="U12" s="16">
        <f t="shared" ref="U12:U23" si="2">0.03*(P12+Q12+R12+T12)</f>
        <v>4.59</v>
      </c>
      <c r="V12" s="17">
        <f>P12+Q12+R12+S12+T12+U12</f>
        <v>157.59</v>
      </c>
    </row>
    <row r="13" spans="1:40" ht="27" thickBot="1" x14ac:dyDescent="0.45">
      <c r="B13" s="72"/>
      <c r="C13" s="73"/>
      <c r="D13" s="74"/>
      <c r="E13" s="75"/>
      <c r="F13" s="74"/>
      <c r="G13" s="75"/>
      <c r="H13" s="76"/>
      <c r="I13" s="77"/>
      <c r="J13" s="74"/>
      <c r="K13" s="75"/>
      <c r="L13" s="74"/>
      <c r="M13" s="75"/>
      <c r="N13" s="48"/>
      <c r="O13" s="46"/>
      <c r="P13" s="47"/>
      <c r="Q13" s="15">
        <f t="shared" si="1"/>
        <v>0</v>
      </c>
      <c r="R13" s="16"/>
      <c r="S13" s="16"/>
      <c r="T13" s="17"/>
      <c r="U13" s="16">
        <f t="shared" si="2"/>
        <v>0</v>
      </c>
      <c r="V13" s="17">
        <f>P13+Q13+R13+S13+T13+U13</f>
        <v>0</v>
      </c>
      <c r="W13" s="78"/>
      <c r="X13" s="78"/>
      <c r="Y13" s="79"/>
      <c r="Z13" s="79"/>
      <c r="AA13" s="78"/>
      <c r="AB13" s="78"/>
      <c r="AC13" s="79"/>
      <c r="AD13" s="79"/>
      <c r="AE13" s="78"/>
      <c r="AF13" s="78"/>
      <c r="AI13" s="21"/>
      <c r="AJ13" s="21"/>
      <c r="AK13" s="21"/>
      <c r="AL13" s="21"/>
      <c r="AM13" s="21"/>
      <c r="AN13" s="21"/>
    </row>
    <row r="14" spans="1:40" ht="27" thickBot="1" x14ac:dyDescent="0.45">
      <c r="B14" s="72"/>
      <c r="C14" s="73"/>
      <c r="D14" s="74"/>
      <c r="E14" s="75"/>
      <c r="F14" s="74"/>
      <c r="G14" s="75"/>
      <c r="H14" s="76"/>
      <c r="I14" s="77"/>
      <c r="J14" s="74"/>
      <c r="K14" s="75"/>
      <c r="L14" s="74"/>
      <c r="M14" s="75"/>
      <c r="N14" s="46"/>
      <c r="O14" s="46"/>
      <c r="P14" s="47"/>
      <c r="Q14" s="15">
        <f t="shared" si="1"/>
        <v>0</v>
      </c>
      <c r="R14" s="16"/>
      <c r="S14" s="16"/>
      <c r="T14" s="17"/>
      <c r="U14" s="16">
        <f t="shared" si="2"/>
        <v>0</v>
      </c>
      <c r="V14" s="17">
        <f t="shared" si="0"/>
        <v>0</v>
      </c>
    </row>
    <row r="15" spans="1:40" ht="27" thickBot="1" x14ac:dyDescent="0.45">
      <c r="B15" s="72"/>
      <c r="C15" s="73"/>
      <c r="D15" s="74"/>
      <c r="E15" s="75"/>
      <c r="F15" s="74"/>
      <c r="G15" s="75"/>
      <c r="H15" s="76"/>
      <c r="I15" s="77"/>
      <c r="J15" s="74"/>
      <c r="K15" s="75"/>
      <c r="L15" s="76"/>
      <c r="M15" s="77"/>
      <c r="N15" s="46"/>
      <c r="O15" s="46"/>
      <c r="P15" s="47"/>
      <c r="Q15" s="15">
        <f t="shared" si="1"/>
        <v>0</v>
      </c>
      <c r="R15" s="16"/>
      <c r="S15" s="16"/>
      <c r="T15" s="17"/>
      <c r="U15" s="16">
        <f t="shared" si="2"/>
        <v>0</v>
      </c>
      <c r="V15" s="17">
        <f t="shared" si="0"/>
        <v>0</v>
      </c>
    </row>
    <row r="16" spans="1:40" ht="27" thickBot="1" x14ac:dyDescent="0.45">
      <c r="B16" s="72"/>
      <c r="C16" s="73"/>
      <c r="D16" s="74"/>
      <c r="E16" s="75"/>
      <c r="F16" s="74"/>
      <c r="G16" s="75"/>
      <c r="H16" s="76"/>
      <c r="I16" s="77"/>
      <c r="J16" s="74"/>
      <c r="K16" s="75"/>
      <c r="L16" s="76"/>
      <c r="M16" s="77"/>
      <c r="N16" s="48"/>
      <c r="O16" s="48"/>
      <c r="P16" s="47"/>
      <c r="Q16" s="15">
        <f t="shared" si="1"/>
        <v>0</v>
      </c>
      <c r="R16" s="19"/>
      <c r="S16" s="19"/>
      <c r="T16" s="20"/>
      <c r="U16" s="16">
        <f t="shared" si="2"/>
        <v>0</v>
      </c>
      <c r="V16" s="17">
        <f t="shared" si="0"/>
        <v>0</v>
      </c>
    </row>
    <row r="17" spans="1:40" ht="27" thickBot="1" x14ac:dyDescent="0.45">
      <c r="B17" s="72"/>
      <c r="C17" s="73"/>
      <c r="D17" s="76"/>
      <c r="E17" s="77"/>
      <c r="F17" s="74"/>
      <c r="G17" s="75"/>
      <c r="H17" s="76"/>
      <c r="I17" s="77"/>
      <c r="J17" s="74"/>
      <c r="K17" s="75"/>
      <c r="L17" s="76"/>
      <c r="M17" s="77"/>
      <c r="N17" s="48"/>
      <c r="O17" s="48"/>
      <c r="P17" s="47"/>
      <c r="Q17" s="15">
        <f t="shared" si="1"/>
        <v>0</v>
      </c>
      <c r="R17" s="19"/>
      <c r="S17" s="49"/>
      <c r="T17" s="20"/>
      <c r="U17" s="16">
        <f t="shared" si="2"/>
        <v>0</v>
      </c>
      <c r="V17" s="17">
        <f t="shared" si="0"/>
        <v>0</v>
      </c>
    </row>
    <row r="18" spans="1:40" ht="27" thickBot="1" x14ac:dyDescent="0.45">
      <c r="B18" s="72"/>
      <c r="C18" s="73"/>
      <c r="D18" s="76"/>
      <c r="E18" s="77"/>
      <c r="F18" s="74"/>
      <c r="G18" s="77"/>
      <c r="H18" s="76"/>
      <c r="I18" s="77"/>
      <c r="J18" s="74"/>
      <c r="K18" s="77"/>
      <c r="L18" s="76"/>
      <c r="M18" s="77"/>
      <c r="N18" s="48"/>
      <c r="O18" s="48"/>
      <c r="P18" s="47"/>
      <c r="Q18" s="15">
        <f t="shared" si="1"/>
        <v>0</v>
      </c>
      <c r="R18" s="49"/>
      <c r="S18" s="49"/>
      <c r="T18" s="18"/>
      <c r="U18" s="16">
        <f t="shared" si="2"/>
        <v>0</v>
      </c>
      <c r="V18" s="17">
        <f t="shared" si="0"/>
        <v>0</v>
      </c>
    </row>
    <row r="19" spans="1:40" ht="27" thickBot="1" x14ac:dyDescent="0.45">
      <c r="B19" s="72"/>
      <c r="C19" s="73"/>
      <c r="D19" s="76"/>
      <c r="E19" s="77"/>
      <c r="F19" s="76"/>
      <c r="G19" s="77"/>
      <c r="H19" s="76"/>
      <c r="I19" s="77"/>
      <c r="J19" s="76"/>
      <c r="K19" s="77"/>
      <c r="L19" s="76"/>
      <c r="M19" s="77"/>
      <c r="N19" s="48"/>
      <c r="O19" s="48"/>
      <c r="P19" s="47"/>
      <c r="Q19" s="15">
        <f t="shared" si="1"/>
        <v>0</v>
      </c>
      <c r="R19" s="49"/>
      <c r="S19" s="49"/>
      <c r="T19" s="18"/>
      <c r="U19" s="16">
        <f t="shared" si="2"/>
        <v>0</v>
      </c>
      <c r="V19" s="17">
        <f t="shared" si="0"/>
        <v>0</v>
      </c>
    </row>
    <row r="20" spans="1:40" ht="27" thickBot="1" x14ac:dyDescent="0.45">
      <c r="B20" s="72"/>
      <c r="C20" s="73"/>
      <c r="D20" s="76"/>
      <c r="E20" s="77"/>
      <c r="F20" s="76"/>
      <c r="G20" s="77"/>
      <c r="H20" s="76"/>
      <c r="I20" s="77"/>
      <c r="J20" s="76"/>
      <c r="K20" s="77"/>
      <c r="L20" s="76"/>
      <c r="M20" s="77"/>
      <c r="N20" s="46"/>
      <c r="O20" s="46"/>
      <c r="P20" s="47"/>
      <c r="Q20" s="15">
        <f t="shared" ref="Q20:Q26" si="3">O20*5</f>
        <v>0</v>
      </c>
      <c r="R20" s="22"/>
      <c r="S20" s="22"/>
      <c r="T20" s="13"/>
      <c r="U20" s="16">
        <f t="shared" si="2"/>
        <v>0</v>
      </c>
      <c r="V20" s="17">
        <f t="shared" si="0"/>
        <v>0</v>
      </c>
    </row>
    <row r="21" spans="1:40" ht="27" thickBot="1" x14ac:dyDescent="0.45">
      <c r="B21" s="72"/>
      <c r="C21" s="73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50"/>
      <c r="O21" s="50"/>
      <c r="P21" s="47"/>
      <c r="Q21" s="15">
        <f t="shared" si="3"/>
        <v>0</v>
      </c>
      <c r="R21" s="24"/>
      <c r="S21" s="24"/>
      <c r="T21" s="23"/>
      <c r="U21" s="16">
        <f t="shared" si="2"/>
        <v>0</v>
      </c>
      <c r="V21" s="17">
        <f t="shared" si="0"/>
        <v>0</v>
      </c>
    </row>
    <row r="22" spans="1:40" ht="27" thickBot="1" x14ac:dyDescent="0.45">
      <c r="B22" s="72"/>
      <c r="C22" s="73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50"/>
      <c r="O22" s="50"/>
      <c r="P22" s="47"/>
      <c r="Q22" s="15">
        <f t="shared" si="3"/>
        <v>0</v>
      </c>
      <c r="R22" s="24"/>
      <c r="S22" s="24"/>
      <c r="T22" s="23"/>
      <c r="U22" s="16">
        <f t="shared" si="2"/>
        <v>0</v>
      </c>
      <c r="V22" s="17">
        <f t="shared" si="0"/>
        <v>0</v>
      </c>
    </row>
    <row r="23" spans="1:40" ht="27" thickBot="1" x14ac:dyDescent="0.45">
      <c r="B23" s="72"/>
      <c r="C23" s="73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50"/>
      <c r="O23" s="50"/>
      <c r="P23" s="47"/>
      <c r="Q23" s="15">
        <f t="shared" si="3"/>
        <v>0</v>
      </c>
      <c r="R23" s="24"/>
      <c r="S23" s="24"/>
      <c r="T23" s="23"/>
      <c r="U23" s="16">
        <f t="shared" si="2"/>
        <v>0</v>
      </c>
      <c r="V23" s="17">
        <f t="shared" si="0"/>
        <v>0</v>
      </c>
    </row>
    <row r="24" spans="1:40" ht="27" thickBot="1" x14ac:dyDescent="0.45">
      <c r="B24" s="72"/>
      <c r="C24" s="73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50"/>
      <c r="O24" s="50"/>
      <c r="P24" s="47"/>
      <c r="Q24" s="15">
        <f t="shared" si="3"/>
        <v>0</v>
      </c>
      <c r="R24" s="24"/>
      <c r="S24" s="24"/>
      <c r="T24" s="23"/>
      <c r="U24" s="17">
        <f t="shared" ref="U24:U26" si="4">(P24+Q24+R24+T24)*0.03</f>
        <v>0</v>
      </c>
      <c r="V24" s="17">
        <f t="shared" si="0"/>
        <v>0</v>
      </c>
    </row>
    <row r="25" spans="1:40" ht="27" thickBot="1" x14ac:dyDescent="0.45">
      <c r="B25" s="72"/>
      <c r="C25" s="73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50"/>
      <c r="O25" s="50"/>
      <c r="P25" s="47"/>
      <c r="Q25" s="15">
        <f t="shared" si="3"/>
        <v>0</v>
      </c>
      <c r="R25" s="24"/>
      <c r="S25" s="24"/>
      <c r="T25" s="23"/>
      <c r="U25" s="17">
        <f t="shared" si="4"/>
        <v>0</v>
      </c>
      <c r="V25" s="17">
        <f t="shared" si="0"/>
        <v>0</v>
      </c>
    </row>
    <row r="26" spans="1:40" ht="27" thickBot="1" x14ac:dyDescent="0.45">
      <c r="B26" s="72"/>
      <c r="C26" s="73"/>
      <c r="D26" s="72"/>
      <c r="E26" s="73"/>
      <c r="F26" s="72"/>
      <c r="G26" s="73"/>
      <c r="H26" s="76"/>
      <c r="I26" s="77"/>
      <c r="J26" s="76"/>
      <c r="K26" s="77"/>
      <c r="L26" s="76"/>
      <c r="M26" s="77"/>
      <c r="N26" s="46"/>
      <c r="O26" s="46"/>
      <c r="P26" s="46"/>
      <c r="Q26" s="15">
        <f t="shared" si="3"/>
        <v>0</v>
      </c>
      <c r="R26" s="13"/>
      <c r="S26" s="13"/>
      <c r="T26" s="13"/>
      <c r="U26" s="17">
        <f t="shared" si="4"/>
        <v>0</v>
      </c>
      <c r="V26" s="17">
        <f t="shared" si="0"/>
        <v>0</v>
      </c>
    </row>
    <row r="27" spans="1:40" ht="27" thickBot="1" x14ac:dyDescent="0.45">
      <c r="V27" s="17">
        <f>SUM(V11:V26)</f>
        <v>500.25</v>
      </c>
    </row>
    <row r="28" spans="1:40" ht="27" thickBot="1" x14ac:dyDescent="0.45">
      <c r="B28" s="90" t="s">
        <v>33</v>
      </c>
      <c r="C28" s="91"/>
      <c r="D28" s="92"/>
      <c r="F28" s="90" t="s">
        <v>34</v>
      </c>
      <c r="G28" s="91"/>
      <c r="H28" s="91"/>
      <c r="I28" s="92"/>
      <c r="L28" s="90" t="s">
        <v>35</v>
      </c>
      <c r="M28" s="92"/>
      <c r="T28" s="72" t="s">
        <v>36</v>
      </c>
      <c r="U28" s="73"/>
      <c r="V28" s="17">
        <f>M30</f>
        <v>24.2</v>
      </c>
    </row>
    <row r="29" spans="1:40" ht="27" thickBot="1" x14ac:dyDescent="0.45">
      <c r="B29" s="26" t="s">
        <v>37</v>
      </c>
      <c r="C29" s="8" t="s">
        <v>38</v>
      </c>
      <c r="D29" s="27" t="s">
        <v>39</v>
      </c>
      <c r="F29" s="28" t="s">
        <v>40</v>
      </c>
      <c r="G29" s="72">
        <v>36187</v>
      </c>
      <c r="H29" s="88"/>
      <c r="I29" s="73"/>
      <c r="L29" s="25" t="s">
        <v>41</v>
      </c>
      <c r="M29" s="29" t="s">
        <v>42</v>
      </c>
      <c r="T29" s="72" t="s">
        <v>43</v>
      </c>
      <c r="U29" s="73"/>
      <c r="V29" s="17">
        <f>V27-V28</f>
        <v>476.05</v>
      </c>
      <c r="AN29" s="1">
        <v>63</v>
      </c>
    </row>
    <row r="30" spans="1:40" ht="27" thickBot="1" x14ac:dyDescent="0.45">
      <c r="A30" s="45">
        <v>0.5</v>
      </c>
      <c r="B30" s="30">
        <v>0.32291666666666669</v>
      </c>
      <c r="C30" s="31">
        <v>0.34375</v>
      </c>
      <c r="D30" s="59"/>
      <c r="F30" s="28" t="s">
        <v>38</v>
      </c>
      <c r="G30" s="72">
        <v>36278</v>
      </c>
      <c r="H30" s="88"/>
      <c r="I30" s="73"/>
      <c r="L30" s="35">
        <v>5.9050000000000002</v>
      </c>
      <c r="M30" s="51">
        <v>24.2</v>
      </c>
      <c r="T30" s="72" t="s">
        <v>44</v>
      </c>
      <c r="U30" s="73"/>
      <c r="V30" s="13"/>
    </row>
    <row r="31" spans="1:40" ht="27" thickBot="1" x14ac:dyDescent="0.45">
      <c r="A31" s="45"/>
      <c r="B31" s="37">
        <v>0.35416666666666669</v>
      </c>
      <c r="C31" s="38">
        <v>0.39583333333333331</v>
      </c>
      <c r="D31" s="39"/>
      <c r="F31" s="40" t="s">
        <v>31</v>
      </c>
      <c r="G31" s="72">
        <f>G30-G29</f>
        <v>91</v>
      </c>
      <c r="H31" s="88"/>
      <c r="I31" s="73"/>
      <c r="T31" s="72" t="s">
        <v>45</v>
      </c>
      <c r="U31" s="73"/>
      <c r="V31" s="17">
        <f>V29-V30</f>
        <v>476.05</v>
      </c>
    </row>
    <row r="32" spans="1:40" ht="27" thickBot="1" x14ac:dyDescent="0.45">
      <c r="B32" s="41">
        <v>0.52083333333333337</v>
      </c>
      <c r="C32" s="42">
        <v>4.1666666666666664E-2</v>
      </c>
      <c r="D32" s="52"/>
    </row>
    <row r="34" spans="4:21" x14ac:dyDescent="0.4">
      <c r="D34" s="89" t="s">
        <v>46</v>
      </c>
      <c r="E34" s="89"/>
      <c r="F34" s="89"/>
      <c r="G34" s="89"/>
      <c r="H34" s="89"/>
      <c r="I34" s="89"/>
      <c r="J34" s="89"/>
      <c r="K34" s="89"/>
      <c r="M34" s="89" t="s">
        <v>47</v>
      </c>
      <c r="N34" s="89"/>
      <c r="O34" s="6"/>
      <c r="P34" s="6"/>
      <c r="Q34" s="6"/>
      <c r="R34" s="6"/>
      <c r="S34" s="6"/>
      <c r="T34" s="6"/>
      <c r="U34" s="6"/>
    </row>
    <row r="35" spans="4:21" x14ac:dyDescent="0.4">
      <c r="D35" s="89"/>
      <c r="E35" s="89"/>
      <c r="F35" s="89"/>
      <c r="G35" s="89"/>
      <c r="H35" s="89"/>
      <c r="I35" s="89"/>
      <c r="J35" s="89"/>
      <c r="K35" s="89"/>
      <c r="M35" s="89"/>
      <c r="N35" s="89"/>
    </row>
  </sheetData>
  <mergeCells count="134">
    <mergeCell ref="G30:I30"/>
    <mergeCell ref="T30:U30"/>
    <mergeCell ref="G31:I31"/>
    <mergeCell ref="T31:U31"/>
    <mergeCell ref="D34:K35"/>
    <mergeCell ref="M34:N35"/>
    <mergeCell ref="B28:D28"/>
    <mergeCell ref="F28:I28"/>
    <mergeCell ref="L28:M28"/>
    <mergeCell ref="T28:U28"/>
    <mergeCell ref="G29:I29"/>
    <mergeCell ref="T29:U29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L14:M14"/>
    <mergeCell ref="B15:C15"/>
    <mergeCell ref="D15:E15"/>
    <mergeCell ref="F15:G15"/>
    <mergeCell ref="H15:I15"/>
    <mergeCell ref="J15:K15"/>
    <mergeCell ref="L15:M15"/>
    <mergeCell ref="Y13:Z13"/>
    <mergeCell ref="AA13:AB13"/>
    <mergeCell ref="AC13:AD13"/>
    <mergeCell ref="AE13:AF13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N9:N10"/>
    <mergeCell ref="O9:O10"/>
    <mergeCell ref="W13:X13"/>
    <mergeCell ref="B11:C11"/>
    <mergeCell ref="D11:E11"/>
    <mergeCell ref="F11:G11"/>
    <mergeCell ref="H11:I11"/>
    <mergeCell ref="J11:K11"/>
    <mergeCell ref="L11:M11"/>
    <mergeCell ref="D2:O3"/>
    <mergeCell ref="Q2:U3"/>
    <mergeCell ref="B5:C5"/>
    <mergeCell ref="D5:G5"/>
    <mergeCell ref="J5:K5"/>
    <mergeCell ref="P5:Q5"/>
    <mergeCell ref="Q9:Q10"/>
    <mergeCell ref="T9:T10"/>
    <mergeCell ref="U9:U10"/>
    <mergeCell ref="B7:C7"/>
    <mergeCell ref="D7:G7"/>
    <mergeCell ref="J7:K7"/>
    <mergeCell ref="P7:Q7"/>
    <mergeCell ref="B9:C10"/>
    <mergeCell ref="D9:E10"/>
    <mergeCell ref="F9:G10"/>
    <mergeCell ref="H9:I10"/>
    <mergeCell ref="J9:K10"/>
    <mergeCell ref="L9:M10"/>
  </mergeCells>
  <pageMargins left="0.7" right="0.7" top="0.75" bottom="0.75" header="0.3" footer="0.3"/>
  <pageSetup scale="43" fitToHeight="0" orientation="landscape" horizontalDpi="0" verticalDpi="0" r:id="rId1"/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A622-D92F-4F4E-BA5A-DC290B72AF43}">
  <sheetPr>
    <pageSetUpPr fitToPage="1"/>
  </sheetPr>
  <dimension ref="A2:AA36"/>
  <sheetViews>
    <sheetView zoomScale="65" zoomScaleNormal="65" workbookViewId="0">
      <selection activeCell="Y15" sqref="Y15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2.85546875" style="1" customWidth="1"/>
    <col min="4" max="4" width="11.7109375" style="1" customWidth="1"/>
    <col min="5" max="5" width="14" style="1" customWidth="1"/>
    <col min="6" max="6" width="11.7109375" style="1" bestFit="1" customWidth="1"/>
    <col min="7" max="7" width="5.5703125" style="1" customWidth="1"/>
    <col min="8" max="8" width="9.140625" style="1"/>
    <col min="9" max="9" width="21.5703125" style="1" customWidth="1"/>
    <col min="10" max="10" width="11.85546875" style="1" bestFit="1" customWidth="1"/>
    <col min="11" max="11" width="9.85546875" style="1" bestFit="1" customWidth="1"/>
    <col min="12" max="12" width="10.85546875" style="1" customWidth="1"/>
    <col min="13" max="13" width="18.28515625" style="1" customWidth="1"/>
    <col min="14" max="14" width="10.140625" style="1" customWidth="1"/>
    <col min="15" max="15" width="15.85546875" style="1" customWidth="1"/>
    <col min="16" max="16" width="14.85546875" style="1" customWidth="1"/>
    <col min="17" max="17" width="11.28515625" style="1" customWidth="1"/>
    <col min="18" max="18" width="15.7109375" style="1" customWidth="1"/>
    <col min="19" max="19" width="12.5703125" style="1" bestFit="1" customWidth="1"/>
    <col min="20" max="20" width="12.710937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2:22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2:22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5" spans="2:22" x14ac:dyDescent="0.4">
      <c r="B5" s="62" t="s">
        <v>3</v>
      </c>
      <c r="C5" s="62"/>
      <c r="D5" s="63" t="s">
        <v>55</v>
      </c>
      <c r="E5" s="63"/>
      <c r="F5" s="63"/>
      <c r="G5" s="63"/>
      <c r="I5" s="3" t="s">
        <v>5</v>
      </c>
      <c r="J5" s="64" t="s">
        <v>11</v>
      </c>
      <c r="K5" s="64"/>
      <c r="O5" s="3" t="s">
        <v>7</v>
      </c>
      <c r="P5" s="64" t="s">
        <v>92</v>
      </c>
      <c r="Q5" s="64"/>
      <c r="R5" s="6" t="s">
        <v>13</v>
      </c>
    </row>
    <row r="6" spans="2:22" x14ac:dyDescent="0.4">
      <c r="P6" s="45"/>
    </row>
    <row r="7" spans="2:22" x14ac:dyDescent="0.4">
      <c r="B7" s="62" t="s">
        <v>9</v>
      </c>
      <c r="C7" s="62"/>
      <c r="D7" s="67">
        <v>45996</v>
      </c>
      <c r="E7" s="63"/>
      <c r="F7" s="63"/>
      <c r="G7" s="63"/>
      <c r="I7" s="3" t="s">
        <v>10</v>
      </c>
      <c r="J7" s="64" t="s">
        <v>6</v>
      </c>
      <c r="K7" s="64"/>
      <c r="O7" s="3" t="s">
        <v>12</v>
      </c>
      <c r="P7" s="64" t="s">
        <v>71</v>
      </c>
      <c r="Q7" s="64"/>
      <c r="R7" s="60" t="s">
        <v>13</v>
      </c>
    </row>
    <row r="8" spans="2:22" x14ac:dyDescent="0.4">
      <c r="P8" s="4"/>
    </row>
    <row r="9" spans="2:22" ht="27" thickBot="1" x14ac:dyDescent="0.45"/>
    <row r="10" spans="2:22" x14ac:dyDescent="0.4">
      <c r="B10" s="68" t="s">
        <v>14</v>
      </c>
      <c r="C10" s="69"/>
      <c r="D10" s="68" t="s">
        <v>15</v>
      </c>
      <c r="E10" s="69"/>
      <c r="F10" s="68" t="s">
        <v>16</v>
      </c>
      <c r="G10" s="69"/>
      <c r="H10" s="68" t="s">
        <v>17</v>
      </c>
      <c r="I10" s="69"/>
      <c r="J10" s="68" t="s">
        <v>18</v>
      </c>
      <c r="K10" s="69"/>
      <c r="L10" s="68" t="s">
        <v>19</v>
      </c>
      <c r="M10" s="69"/>
      <c r="N10" s="65" t="s">
        <v>20</v>
      </c>
      <c r="O10" s="65" t="s">
        <v>21</v>
      </c>
      <c r="P10" s="7" t="s">
        <v>22</v>
      </c>
      <c r="Q10" s="65" t="s">
        <v>23</v>
      </c>
      <c r="R10" s="8" t="s">
        <v>24</v>
      </c>
      <c r="S10" s="9">
        <v>0.2</v>
      </c>
      <c r="T10" s="65" t="s">
        <v>25</v>
      </c>
      <c r="U10" s="65" t="s">
        <v>26</v>
      </c>
      <c r="V10" s="7" t="s">
        <v>27</v>
      </c>
    </row>
    <row r="11" spans="2:22" ht="27" thickBot="1" x14ac:dyDescent="0.45">
      <c r="B11" s="94"/>
      <c r="C11" s="95"/>
      <c r="D11" s="94"/>
      <c r="E11" s="95"/>
      <c r="F11" s="94"/>
      <c r="G11" s="95"/>
      <c r="H11" s="70"/>
      <c r="I11" s="71"/>
      <c r="J11" s="70"/>
      <c r="K11" s="71"/>
      <c r="L11" s="70"/>
      <c r="M11" s="71"/>
      <c r="N11" s="66"/>
      <c r="O11" s="66"/>
      <c r="P11" s="10" t="s">
        <v>28</v>
      </c>
      <c r="Q11" s="66"/>
      <c r="R11" s="11" t="s">
        <v>29</v>
      </c>
      <c r="S11" s="11" t="s">
        <v>30</v>
      </c>
      <c r="T11" s="93"/>
      <c r="U11" s="93"/>
      <c r="V11" s="12" t="s">
        <v>31</v>
      </c>
    </row>
    <row r="12" spans="2:22" ht="27" thickBot="1" x14ac:dyDescent="0.45">
      <c r="B12" s="72" t="s">
        <v>94</v>
      </c>
      <c r="C12" s="73" t="s">
        <v>94</v>
      </c>
      <c r="D12" s="74" t="s">
        <v>96</v>
      </c>
      <c r="E12" s="75" t="s">
        <v>96</v>
      </c>
      <c r="F12" s="74">
        <v>0.16666666666666666</v>
      </c>
      <c r="G12" s="75">
        <v>0.16666666666666666</v>
      </c>
      <c r="H12" s="74" t="s">
        <v>98</v>
      </c>
      <c r="I12" s="75" t="s">
        <v>98</v>
      </c>
      <c r="J12" s="74">
        <v>0.20833333333333334</v>
      </c>
      <c r="K12" s="77"/>
      <c r="L12" s="74" t="s">
        <v>100</v>
      </c>
      <c r="M12" s="75" t="s">
        <v>100</v>
      </c>
      <c r="N12" s="46">
        <v>12</v>
      </c>
      <c r="O12" s="46">
        <v>1</v>
      </c>
      <c r="P12" s="47">
        <v>125</v>
      </c>
      <c r="Q12" s="53">
        <f>O12*6</f>
        <v>6</v>
      </c>
      <c r="R12" s="54"/>
      <c r="S12" s="16"/>
      <c r="T12" s="17"/>
      <c r="U12" s="17">
        <f>0.03*(P12+Q12+R12+T12)</f>
        <v>3.9299999999999997</v>
      </c>
      <c r="V12" s="14">
        <f>P12+Q12+R12+S12+T12+U12</f>
        <v>134.93</v>
      </c>
    </row>
    <row r="13" spans="2:22" ht="27" thickBot="1" x14ac:dyDescent="0.45">
      <c r="B13" s="72" t="s">
        <v>95</v>
      </c>
      <c r="C13" s="73" t="s">
        <v>95</v>
      </c>
      <c r="D13" s="74" t="s">
        <v>97</v>
      </c>
      <c r="E13" s="75" t="s">
        <v>97</v>
      </c>
      <c r="F13" s="74">
        <v>0.25</v>
      </c>
      <c r="G13" s="75">
        <v>0.25</v>
      </c>
      <c r="H13" s="74" t="s">
        <v>32</v>
      </c>
      <c r="I13" s="75" t="s">
        <v>99</v>
      </c>
      <c r="J13" s="74">
        <v>0.29166666666666669</v>
      </c>
      <c r="K13" s="77"/>
      <c r="L13" s="74" t="s">
        <v>101</v>
      </c>
      <c r="M13" s="75" t="s">
        <v>101</v>
      </c>
      <c r="N13" s="46">
        <v>2</v>
      </c>
      <c r="O13" s="46">
        <v>1</v>
      </c>
      <c r="P13" s="47">
        <v>125</v>
      </c>
      <c r="Q13" s="53">
        <f t="shared" ref="Q13:Q21" si="0">O13*6</f>
        <v>6</v>
      </c>
      <c r="R13" s="55">
        <v>12</v>
      </c>
      <c r="S13" s="19"/>
      <c r="T13" s="20">
        <v>10</v>
      </c>
      <c r="U13" s="17">
        <f t="shared" ref="U13:U19" si="1">0.03*(P13+Q13+R13+T13)</f>
        <v>4.59</v>
      </c>
      <c r="V13" s="14">
        <f t="shared" ref="V13:V27" si="2">P13+Q13+R13+S13+T13+U13</f>
        <v>157.59</v>
      </c>
    </row>
    <row r="14" spans="2:22" ht="27" thickBot="1" x14ac:dyDescent="0.45">
      <c r="B14" s="72"/>
      <c r="C14" s="73"/>
      <c r="D14" s="74"/>
      <c r="E14" s="75"/>
      <c r="F14" s="74"/>
      <c r="G14" s="77"/>
      <c r="H14" s="74"/>
      <c r="I14" s="75"/>
      <c r="J14" s="74"/>
      <c r="K14" s="77"/>
      <c r="L14" s="74"/>
      <c r="M14" s="75"/>
      <c r="N14" s="46"/>
      <c r="O14" s="48"/>
      <c r="P14" s="47"/>
      <c r="Q14" s="53">
        <f t="shared" si="0"/>
        <v>0</v>
      </c>
      <c r="R14" s="55"/>
      <c r="S14" s="19"/>
      <c r="T14" s="20"/>
      <c r="U14" s="17">
        <f t="shared" si="1"/>
        <v>0</v>
      </c>
      <c r="V14" s="14">
        <f t="shared" si="2"/>
        <v>0</v>
      </c>
    </row>
    <row r="15" spans="2:22" ht="27" thickBot="1" x14ac:dyDescent="0.45">
      <c r="B15" s="72"/>
      <c r="C15" s="73"/>
      <c r="D15" s="74"/>
      <c r="E15" s="75"/>
      <c r="F15" s="74"/>
      <c r="G15" s="77"/>
      <c r="H15" s="76"/>
      <c r="I15" s="77"/>
      <c r="J15" s="74"/>
      <c r="K15" s="77"/>
      <c r="L15" s="76"/>
      <c r="M15" s="77"/>
      <c r="N15" s="46"/>
      <c r="O15" s="46"/>
      <c r="P15" s="47"/>
      <c r="Q15" s="53">
        <f t="shared" si="0"/>
        <v>0</v>
      </c>
      <c r="R15" s="19"/>
      <c r="S15" s="19"/>
      <c r="T15" s="20"/>
      <c r="U15" s="17">
        <f t="shared" si="1"/>
        <v>0</v>
      </c>
      <c r="V15" s="14">
        <f t="shared" si="2"/>
        <v>0</v>
      </c>
    </row>
    <row r="16" spans="2:22" ht="27" thickBot="1" x14ac:dyDescent="0.45">
      <c r="B16" s="72"/>
      <c r="C16" s="73"/>
      <c r="D16" s="76"/>
      <c r="E16" s="77"/>
      <c r="F16" s="74"/>
      <c r="G16" s="77"/>
      <c r="H16" s="76"/>
      <c r="I16" s="77"/>
      <c r="J16" s="74"/>
      <c r="K16" s="77"/>
      <c r="L16" s="76"/>
      <c r="M16" s="77"/>
      <c r="N16" s="48"/>
      <c r="O16" s="48"/>
      <c r="P16" s="47"/>
      <c r="Q16" s="53">
        <f t="shared" si="0"/>
        <v>0</v>
      </c>
      <c r="R16" s="19"/>
      <c r="S16" s="19"/>
      <c r="T16" s="20"/>
      <c r="U16" s="17">
        <f t="shared" si="1"/>
        <v>0</v>
      </c>
      <c r="V16" s="14">
        <f t="shared" si="2"/>
        <v>0</v>
      </c>
    </row>
    <row r="17" spans="1:27" ht="27" thickBot="1" x14ac:dyDescent="0.45">
      <c r="B17" s="72"/>
      <c r="C17" s="73"/>
      <c r="D17" s="76"/>
      <c r="E17" s="77"/>
      <c r="F17" s="74"/>
      <c r="G17" s="77"/>
      <c r="H17" s="74"/>
      <c r="I17" s="77"/>
      <c r="J17" s="74"/>
      <c r="K17" s="77"/>
      <c r="L17" s="76"/>
      <c r="M17" s="77"/>
      <c r="N17" s="48"/>
      <c r="O17" s="48"/>
      <c r="P17" s="47"/>
      <c r="Q17" s="53">
        <f t="shared" si="0"/>
        <v>0</v>
      </c>
      <c r="R17" s="19"/>
      <c r="S17" s="19"/>
      <c r="T17" s="20"/>
      <c r="U17" s="17">
        <f t="shared" si="1"/>
        <v>0</v>
      </c>
      <c r="V17" s="14">
        <f t="shared" si="2"/>
        <v>0</v>
      </c>
    </row>
    <row r="18" spans="1:27" ht="27" thickBot="1" x14ac:dyDescent="0.45">
      <c r="B18" s="72"/>
      <c r="C18" s="73"/>
      <c r="D18" s="76"/>
      <c r="E18" s="77"/>
      <c r="F18" s="74"/>
      <c r="G18" s="77"/>
      <c r="H18" s="76"/>
      <c r="I18" s="77"/>
      <c r="J18" s="74"/>
      <c r="K18" s="77"/>
      <c r="L18" s="76"/>
      <c r="M18" s="77"/>
      <c r="N18" s="48"/>
      <c r="O18" s="48"/>
      <c r="P18" s="47"/>
      <c r="Q18" s="53">
        <f t="shared" si="0"/>
        <v>0</v>
      </c>
      <c r="R18" s="19"/>
      <c r="S18" s="19"/>
      <c r="T18" s="20"/>
      <c r="U18" s="17">
        <f t="shared" si="1"/>
        <v>0</v>
      </c>
      <c r="V18" s="14">
        <f t="shared" si="2"/>
        <v>0</v>
      </c>
      <c r="AA18" s="58"/>
    </row>
    <row r="19" spans="1:27" ht="27" thickBot="1" x14ac:dyDescent="0.45">
      <c r="B19" s="72"/>
      <c r="C19" s="73"/>
      <c r="D19" s="76"/>
      <c r="E19" s="77"/>
      <c r="F19" s="74"/>
      <c r="G19" s="77"/>
      <c r="H19" s="76"/>
      <c r="I19" s="77"/>
      <c r="J19" s="74"/>
      <c r="K19" s="77"/>
      <c r="L19" s="76"/>
      <c r="M19" s="77"/>
      <c r="N19" s="48"/>
      <c r="O19" s="48"/>
      <c r="P19" s="47"/>
      <c r="Q19" s="53">
        <f t="shared" si="0"/>
        <v>0</v>
      </c>
      <c r="R19" s="19"/>
      <c r="S19" s="19"/>
      <c r="T19" s="20"/>
      <c r="U19" s="17">
        <f t="shared" si="1"/>
        <v>0</v>
      </c>
      <c r="V19" s="14">
        <f t="shared" si="2"/>
        <v>0</v>
      </c>
    </row>
    <row r="20" spans="1:27" ht="27" thickBot="1" x14ac:dyDescent="0.45">
      <c r="B20" s="72"/>
      <c r="C20" s="73"/>
      <c r="D20" s="76"/>
      <c r="E20" s="77"/>
      <c r="F20" s="74"/>
      <c r="G20" s="77"/>
      <c r="H20" s="76"/>
      <c r="I20" s="77"/>
      <c r="J20" s="74"/>
      <c r="K20" s="77"/>
      <c r="L20" s="76"/>
      <c r="M20" s="77"/>
      <c r="N20" s="46"/>
      <c r="O20" s="46"/>
      <c r="P20" s="47"/>
      <c r="Q20" s="53">
        <f t="shared" si="0"/>
        <v>0</v>
      </c>
      <c r="R20" s="22"/>
      <c r="S20" s="22"/>
      <c r="T20" s="13"/>
      <c r="U20" s="17">
        <f t="shared" ref="U20:U21" si="3">0.03*(P20+Q20+R20)</f>
        <v>0</v>
      </c>
      <c r="V20" s="14">
        <f t="shared" si="2"/>
        <v>0</v>
      </c>
    </row>
    <row r="21" spans="1:27" ht="27" thickBot="1" x14ac:dyDescent="0.45">
      <c r="B21" s="72"/>
      <c r="C21" s="73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50"/>
      <c r="O21" s="50"/>
      <c r="P21" s="56"/>
      <c r="Q21" s="53">
        <f t="shared" si="0"/>
        <v>0</v>
      </c>
      <c r="R21" s="24"/>
      <c r="S21" s="24"/>
      <c r="T21" s="23"/>
      <c r="U21" s="17">
        <f t="shared" si="3"/>
        <v>0</v>
      </c>
      <c r="V21" s="14">
        <f t="shared" si="2"/>
        <v>0</v>
      </c>
    </row>
    <row r="22" spans="1:27" ht="27" thickBot="1" x14ac:dyDescent="0.45">
      <c r="B22" s="72"/>
      <c r="C22" s="73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50"/>
      <c r="O22" s="50"/>
      <c r="P22" s="47"/>
      <c r="Q22" s="53">
        <f t="shared" ref="Q22:Q27" si="4">O22*5</f>
        <v>0</v>
      </c>
      <c r="R22" s="24"/>
      <c r="S22" s="24"/>
      <c r="T22" s="23"/>
      <c r="U22" s="17">
        <f t="shared" ref="U22:U27" si="5">(P22+Q22+R22+T22)*0.03</f>
        <v>0</v>
      </c>
      <c r="V22" s="14">
        <f t="shared" si="2"/>
        <v>0</v>
      </c>
    </row>
    <row r="23" spans="1:27" ht="27" thickBot="1" x14ac:dyDescent="0.45">
      <c r="B23" s="72"/>
      <c r="C23" s="73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50"/>
      <c r="O23" s="50"/>
      <c r="P23" s="47"/>
      <c r="Q23" s="53">
        <f t="shared" si="4"/>
        <v>0</v>
      </c>
      <c r="R23" s="24"/>
      <c r="S23" s="24"/>
      <c r="T23" s="23"/>
      <c r="U23" s="17">
        <f t="shared" si="5"/>
        <v>0</v>
      </c>
      <c r="V23" s="14">
        <f t="shared" si="2"/>
        <v>0</v>
      </c>
    </row>
    <row r="24" spans="1:27" ht="27" thickBot="1" x14ac:dyDescent="0.45">
      <c r="B24" s="72"/>
      <c r="C24" s="73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50"/>
      <c r="O24" s="50"/>
      <c r="P24" s="47"/>
      <c r="Q24" s="53">
        <f t="shared" si="4"/>
        <v>0</v>
      </c>
      <c r="R24" s="24"/>
      <c r="S24" s="24"/>
      <c r="T24" s="23"/>
      <c r="U24" s="17">
        <f t="shared" si="5"/>
        <v>0</v>
      </c>
      <c r="V24" s="14">
        <f t="shared" si="2"/>
        <v>0</v>
      </c>
    </row>
    <row r="25" spans="1:27" ht="27" thickBot="1" x14ac:dyDescent="0.45">
      <c r="B25" s="72"/>
      <c r="C25" s="73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50"/>
      <c r="O25" s="50"/>
      <c r="P25" s="47"/>
      <c r="Q25" s="53">
        <f t="shared" si="4"/>
        <v>0</v>
      </c>
      <c r="R25" s="24"/>
      <c r="S25" s="24"/>
      <c r="T25" s="23"/>
      <c r="U25" s="17">
        <f t="shared" si="5"/>
        <v>0</v>
      </c>
      <c r="V25" s="14">
        <f t="shared" si="2"/>
        <v>0</v>
      </c>
    </row>
    <row r="26" spans="1:27" ht="27" thickBot="1" x14ac:dyDescent="0.45">
      <c r="B26" s="72"/>
      <c r="C26" s="73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50"/>
      <c r="O26" s="50"/>
      <c r="P26" s="47"/>
      <c r="Q26" s="53">
        <f t="shared" si="4"/>
        <v>0</v>
      </c>
      <c r="R26" s="24"/>
      <c r="S26" s="24"/>
      <c r="T26" s="23"/>
      <c r="U26" s="17">
        <f t="shared" si="5"/>
        <v>0</v>
      </c>
      <c r="V26" s="14">
        <f t="shared" si="2"/>
        <v>0</v>
      </c>
    </row>
    <row r="27" spans="1:27" ht="27" thickBot="1" x14ac:dyDescent="0.45">
      <c r="B27" s="72"/>
      <c r="C27" s="73"/>
      <c r="D27" s="96"/>
      <c r="E27" s="77"/>
      <c r="F27" s="76"/>
      <c r="G27" s="77"/>
      <c r="H27" s="76"/>
      <c r="I27" s="77"/>
      <c r="J27" s="96"/>
      <c r="K27" s="77"/>
      <c r="L27" s="76"/>
      <c r="M27" s="77"/>
      <c r="N27" s="46"/>
      <c r="O27" s="46"/>
      <c r="P27" s="46"/>
      <c r="Q27" s="53">
        <f t="shared" si="4"/>
        <v>0</v>
      </c>
      <c r="R27" s="13"/>
      <c r="S27" s="13"/>
      <c r="T27" s="13"/>
      <c r="U27" s="17">
        <f t="shared" si="5"/>
        <v>0</v>
      </c>
      <c r="V27" s="14">
        <f t="shared" si="2"/>
        <v>0</v>
      </c>
    </row>
    <row r="28" spans="1:27" ht="27" thickBot="1" x14ac:dyDescent="0.45">
      <c r="V28" s="17">
        <f>SUM(V12:V27)</f>
        <v>292.52</v>
      </c>
    </row>
    <row r="29" spans="1:27" ht="27" thickBot="1" x14ac:dyDescent="0.45">
      <c r="B29" s="90" t="s">
        <v>33</v>
      </c>
      <c r="C29" s="91"/>
      <c r="D29" s="92"/>
      <c r="F29" s="97" t="s">
        <v>34</v>
      </c>
      <c r="G29" s="91"/>
      <c r="H29" s="91"/>
      <c r="I29" s="92"/>
      <c r="L29" s="90" t="s">
        <v>35</v>
      </c>
      <c r="M29" s="92"/>
      <c r="T29" s="72" t="s">
        <v>36</v>
      </c>
      <c r="U29" s="73"/>
      <c r="V29" s="13">
        <f>M31</f>
        <v>56</v>
      </c>
    </row>
    <row r="30" spans="1:27" ht="27" thickBot="1" x14ac:dyDescent="0.45">
      <c r="B30" s="26" t="s">
        <v>37</v>
      </c>
      <c r="C30" s="8" t="s">
        <v>38</v>
      </c>
      <c r="D30" s="27" t="s">
        <v>39</v>
      </c>
      <c r="F30" s="28" t="s">
        <v>40</v>
      </c>
      <c r="G30" s="72">
        <v>76933</v>
      </c>
      <c r="H30" s="88"/>
      <c r="I30" s="73"/>
      <c r="L30" s="25" t="s">
        <v>41</v>
      </c>
      <c r="M30" s="29" t="s">
        <v>42</v>
      </c>
      <c r="T30" s="72" t="s">
        <v>43</v>
      </c>
      <c r="U30" s="73"/>
      <c r="V30" s="17">
        <f>V28-V29</f>
        <v>236.51999999999998</v>
      </c>
    </row>
    <row r="31" spans="1:27" ht="27" thickBot="1" x14ac:dyDescent="0.45">
      <c r="A31" s="45"/>
      <c r="B31" s="30">
        <v>0.21875</v>
      </c>
      <c r="C31" s="31">
        <v>0.23958333333333334</v>
      </c>
      <c r="D31" s="32"/>
      <c r="F31" s="28" t="s">
        <v>38</v>
      </c>
      <c r="G31" s="72">
        <v>77055</v>
      </c>
      <c r="H31" s="88"/>
      <c r="I31" s="73"/>
      <c r="L31" s="35">
        <v>16.475999999999999</v>
      </c>
      <c r="M31" s="51">
        <v>56</v>
      </c>
      <c r="T31" s="72" t="s">
        <v>44</v>
      </c>
      <c r="U31" s="73"/>
      <c r="V31" s="13"/>
    </row>
    <row r="32" spans="1:27" ht="27" thickBot="1" x14ac:dyDescent="0.45">
      <c r="B32" s="37">
        <v>0.33333333333333331</v>
      </c>
      <c r="C32" s="38">
        <v>0.375</v>
      </c>
      <c r="D32" s="39"/>
      <c r="F32" s="40" t="s">
        <v>31</v>
      </c>
      <c r="G32" s="72">
        <f>G31-G30</f>
        <v>122</v>
      </c>
      <c r="H32" s="88"/>
      <c r="I32" s="73"/>
      <c r="T32" s="72" t="s">
        <v>45</v>
      </c>
      <c r="U32" s="73"/>
      <c r="V32" s="17">
        <f>V30-V31</f>
        <v>236.51999999999998</v>
      </c>
    </row>
    <row r="33" spans="2:21" ht="27" thickBot="1" x14ac:dyDescent="0.45">
      <c r="B33" s="41"/>
      <c r="C33" s="42"/>
      <c r="D33" s="43"/>
    </row>
    <row r="35" spans="2:21" x14ac:dyDescent="0.4">
      <c r="D35" s="89" t="s">
        <v>46</v>
      </c>
      <c r="E35" s="89"/>
      <c r="F35" s="89"/>
      <c r="G35" s="89"/>
      <c r="H35" s="89"/>
      <c r="I35" s="89"/>
      <c r="J35" s="89"/>
      <c r="K35" s="89"/>
      <c r="M35" s="89" t="s">
        <v>47</v>
      </c>
      <c r="N35" s="89"/>
      <c r="O35" s="6"/>
      <c r="P35" s="6"/>
      <c r="Q35" s="6"/>
      <c r="R35" s="6"/>
      <c r="S35" s="6"/>
      <c r="T35" s="6"/>
      <c r="U35" s="6"/>
    </row>
    <row r="36" spans="2:21" x14ac:dyDescent="0.4">
      <c r="D36" s="89"/>
      <c r="E36" s="89"/>
      <c r="F36" s="89"/>
      <c r="G36" s="89"/>
      <c r="H36" s="89"/>
      <c r="I36" s="89"/>
      <c r="J36" s="89"/>
      <c r="K36" s="89"/>
      <c r="M36" s="89"/>
      <c r="N36" s="89"/>
    </row>
  </sheetData>
  <mergeCells count="129">
    <mergeCell ref="G31:I31"/>
    <mergeCell ref="T31:U31"/>
    <mergeCell ref="G32:I32"/>
    <mergeCell ref="T32:U32"/>
    <mergeCell ref="D35:K36"/>
    <mergeCell ref="M35:N36"/>
    <mergeCell ref="B29:D29"/>
    <mergeCell ref="F29:I29"/>
    <mergeCell ref="L29:M29"/>
    <mergeCell ref="T29:U29"/>
    <mergeCell ref="G30:I30"/>
    <mergeCell ref="T30:U30"/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B13:C13"/>
    <mergeCell ref="D13:E13"/>
    <mergeCell ref="F13:G13"/>
    <mergeCell ref="H13:I13"/>
    <mergeCell ref="J13:K13"/>
    <mergeCell ref="L13:M13"/>
    <mergeCell ref="N10:N11"/>
    <mergeCell ref="O10:O11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2:C12"/>
    <mergeCell ref="D12:E12"/>
    <mergeCell ref="F12:G12"/>
    <mergeCell ref="H12:I12"/>
    <mergeCell ref="J12:K12"/>
    <mergeCell ref="B7:C7"/>
    <mergeCell ref="D7:G7"/>
    <mergeCell ref="J7:K7"/>
    <mergeCell ref="P7:Q7"/>
    <mergeCell ref="B10:C11"/>
    <mergeCell ref="D10:E11"/>
    <mergeCell ref="F10:G11"/>
    <mergeCell ref="H10:I11"/>
    <mergeCell ref="J10:K11"/>
    <mergeCell ref="L10:M11"/>
    <mergeCell ref="L12:M12"/>
    <mergeCell ref="D2:O3"/>
    <mergeCell ref="Q2:U3"/>
    <mergeCell ref="B5:C5"/>
    <mergeCell ref="D5:G5"/>
    <mergeCell ref="J5:K5"/>
    <mergeCell ref="P5:Q5"/>
    <mergeCell ref="Q10:Q11"/>
    <mergeCell ref="T10:T11"/>
    <mergeCell ref="U10:U11"/>
  </mergeCells>
  <pageMargins left="0.7" right="0.7" top="0.75" bottom="0.75" header="0.3" footer="0.3"/>
  <pageSetup scale="4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0678-04A5-45E7-BD16-4C0E5B48E678}">
  <sheetPr>
    <pageSetUpPr fitToPage="1"/>
  </sheetPr>
  <dimension ref="A2:V36"/>
  <sheetViews>
    <sheetView topLeftCell="A3" zoomScale="65" zoomScaleNormal="65" workbookViewId="0">
      <selection activeCell="P8" sqref="P8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2.85546875" style="1" customWidth="1"/>
    <col min="4" max="4" width="11.7109375" style="1" customWidth="1"/>
    <col min="5" max="5" width="11.85546875" style="1" customWidth="1"/>
    <col min="6" max="6" width="11.7109375" style="1" bestFit="1" customWidth="1"/>
    <col min="7" max="7" width="5.5703125" style="1" customWidth="1"/>
    <col min="8" max="8" width="9.140625" style="1"/>
    <col min="9" max="9" width="21.5703125" style="1" customWidth="1"/>
    <col min="10" max="10" width="11.85546875" style="1" bestFit="1" customWidth="1"/>
    <col min="11" max="11" width="9.85546875" style="1" bestFit="1" customWidth="1"/>
    <col min="12" max="12" width="10.85546875" style="1" customWidth="1"/>
    <col min="13" max="13" width="23.140625" style="1" customWidth="1"/>
    <col min="14" max="14" width="10.140625" style="1" customWidth="1"/>
    <col min="15" max="15" width="15.85546875" style="1" customWidth="1"/>
    <col min="16" max="16" width="14.85546875" style="1" customWidth="1"/>
    <col min="17" max="17" width="11.28515625" style="1" customWidth="1"/>
    <col min="18" max="18" width="15.7109375" style="1" customWidth="1"/>
    <col min="19" max="19" width="12.5703125" style="1" bestFit="1" customWidth="1"/>
    <col min="20" max="20" width="10.570312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2:22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2:22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5" spans="2:22" x14ac:dyDescent="0.4">
      <c r="B5" s="62" t="s">
        <v>3</v>
      </c>
      <c r="C5" s="62"/>
      <c r="D5" s="63" t="s">
        <v>63</v>
      </c>
      <c r="E5" s="63"/>
      <c r="F5" s="63"/>
      <c r="G5" s="63"/>
      <c r="I5" s="3" t="s">
        <v>5</v>
      </c>
      <c r="J5" s="64" t="s">
        <v>53</v>
      </c>
      <c r="K5" s="64"/>
      <c r="O5" s="3" t="s">
        <v>7</v>
      </c>
      <c r="P5" s="64" t="s">
        <v>71</v>
      </c>
      <c r="Q5" s="64"/>
      <c r="R5" s="6" t="s">
        <v>8</v>
      </c>
    </row>
    <row r="6" spans="2:22" x14ac:dyDescent="0.4">
      <c r="P6" s="45"/>
      <c r="Q6" s="45"/>
    </row>
    <row r="7" spans="2:22" x14ac:dyDescent="0.4">
      <c r="B7" s="62" t="s">
        <v>9</v>
      </c>
      <c r="C7" s="62"/>
      <c r="D7" s="67">
        <v>45970</v>
      </c>
      <c r="E7" s="63"/>
      <c r="F7" s="63"/>
      <c r="G7" s="63"/>
      <c r="I7" s="3" t="s">
        <v>10</v>
      </c>
      <c r="J7" s="64" t="s">
        <v>62</v>
      </c>
      <c r="K7" s="64"/>
      <c r="O7" s="3" t="s">
        <v>12</v>
      </c>
      <c r="P7" s="64" t="s">
        <v>50</v>
      </c>
      <c r="Q7" s="64"/>
      <c r="R7" s="6" t="s">
        <v>13</v>
      </c>
    </row>
    <row r="8" spans="2:22" x14ac:dyDescent="0.4">
      <c r="P8" s="4"/>
    </row>
    <row r="9" spans="2:22" ht="27" thickBot="1" x14ac:dyDescent="0.45"/>
    <row r="10" spans="2:22" x14ac:dyDescent="0.4">
      <c r="B10" s="68" t="s">
        <v>14</v>
      </c>
      <c r="C10" s="69"/>
      <c r="D10" s="68" t="s">
        <v>15</v>
      </c>
      <c r="E10" s="69"/>
      <c r="F10" s="68" t="s">
        <v>16</v>
      </c>
      <c r="G10" s="69"/>
      <c r="H10" s="68" t="s">
        <v>17</v>
      </c>
      <c r="I10" s="69"/>
      <c r="J10" s="68" t="s">
        <v>18</v>
      </c>
      <c r="K10" s="69"/>
      <c r="L10" s="68" t="s">
        <v>19</v>
      </c>
      <c r="M10" s="69"/>
      <c r="N10" s="65" t="s">
        <v>20</v>
      </c>
      <c r="O10" s="65" t="s">
        <v>21</v>
      </c>
      <c r="P10" s="7" t="s">
        <v>22</v>
      </c>
      <c r="Q10" s="65" t="s">
        <v>23</v>
      </c>
      <c r="R10" s="8" t="s">
        <v>24</v>
      </c>
      <c r="S10" s="9">
        <v>0.2</v>
      </c>
      <c r="T10" s="65" t="s">
        <v>25</v>
      </c>
      <c r="U10" s="65" t="s">
        <v>26</v>
      </c>
      <c r="V10" s="7" t="s">
        <v>27</v>
      </c>
    </row>
    <row r="11" spans="2:22" ht="27" thickBot="1" x14ac:dyDescent="0.45">
      <c r="B11" s="94"/>
      <c r="C11" s="95"/>
      <c r="D11" s="94"/>
      <c r="E11" s="95"/>
      <c r="F11" s="94"/>
      <c r="G11" s="95"/>
      <c r="H11" s="70"/>
      <c r="I11" s="71"/>
      <c r="J11" s="70"/>
      <c r="K11" s="71"/>
      <c r="L11" s="70"/>
      <c r="M11" s="71"/>
      <c r="N11" s="66"/>
      <c r="O11" s="66"/>
      <c r="P11" s="10" t="s">
        <v>28</v>
      </c>
      <c r="Q11" s="66"/>
      <c r="R11" s="11" t="s">
        <v>29</v>
      </c>
      <c r="S11" s="11" t="s">
        <v>30</v>
      </c>
      <c r="T11" s="93"/>
      <c r="U11" s="93"/>
      <c r="V11" s="12" t="s">
        <v>31</v>
      </c>
    </row>
    <row r="12" spans="2:22" ht="27" thickBot="1" x14ac:dyDescent="0.45">
      <c r="B12" s="72">
        <v>10110920251</v>
      </c>
      <c r="C12" s="73"/>
      <c r="D12" s="98" t="s">
        <v>64</v>
      </c>
      <c r="E12" s="99" t="s">
        <v>64</v>
      </c>
      <c r="F12" s="74">
        <v>0.48194444444444445</v>
      </c>
      <c r="G12" s="75">
        <v>0.48194444444444445</v>
      </c>
      <c r="H12" s="74" t="s">
        <v>32</v>
      </c>
      <c r="I12" s="75"/>
      <c r="J12" s="74">
        <v>0.52361111111111114</v>
      </c>
      <c r="K12" s="77"/>
      <c r="L12" s="74" t="s">
        <v>70</v>
      </c>
      <c r="M12" s="75" t="s">
        <v>67</v>
      </c>
      <c r="N12" s="46">
        <v>5</v>
      </c>
      <c r="O12" s="46">
        <v>1</v>
      </c>
      <c r="P12" s="47">
        <v>100</v>
      </c>
      <c r="Q12" s="53">
        <f>O12*6</f>
        <v>6</v>
      </c>
      <c r="R12" s="54">
        <v>12</v>
      </c>
      <c r="S12" s="16"/>
      <c r="T12" s="17">
        <v>10</v>
      </c>
      <c r="U12" s="17">
        <f t="shared" ref="U12:U20" si="0">0.03*(P12+Q12+R12+T12)</f>
        <v>3.84</v>
      </c>
      <c r="V12" s="14">
        <f>P12+Q12+R12+S12+T12+U12</f>
        <v>131.84</v>
      </c>
    </row>
    <row r="13" spans="2:22" ht="27" thickBot="1" x14ac:dyDescent="0.45">
      <c r="B13" s="72">
        <v>10110920252</v>
      </c>
      <c r="C13" s="73"/>
      <c r="D13" s="98" t="s">
        <v>65</v>
      </c>
      <c r="E13" s="99" t="s">
        <v>65</v>
      </c>
      <c r="F13" s="74">
        <v>0.19236111111111112</v>
      </c>
      <c r="G13" s="75">
        <v>0.19236111111111112</v>
      </c>
      <c r="H13" s="74" t="s">
        <v>32</v>
      </c>
      <c r="I13" s="75"/>
      <c r="J13" s="74">
        <v>0.23402777777777778</v>
      </c>
      <c r="K13" s="77"/>
      <c r="L13" s="74" t="s">
        <v>68</v>
      </c>
      <c r="M13" s="75" t="s">
        <v>68</v>
      </c>
      <c r="N13" s="46">
        <v>3</v>
      </c>
      <c r="O13" s="46">
        <v>1</v>
      </c>
      <c r="P13" s="47">
        <v>100</v>
      </c>
      <c r="Q13" s="53">
        <f t="shared" ref="Q13:Q27" si="1">O13*6</f>
        <v>6</v>
      </c>
      <c r="R13" s="55">
        <v>12</v>
      </c>
      <c r="S13" s="19"/>
      <c r="T13" s="20">
        <v>10</v>
      </c>
      <c r="U13" s="17">
        <f t="shared" si="0"/>
        <v>3.84</v>
      </c>
      <c r="V13" s="14">
        <f t="shared" ref="V13:V27" si="2">P13+Q13+R13+S13+T13+U13</f>
        <v>131.84</v>
      </c>
    </row>
    <row r="14" spans="2:22" ht="27" thickBot="1" x14ac:dyDescent="0.45">
      <c r="B14" s="72">
        <v>10110920253</v>
      </c>
      <c r="C14" s="73"/>
      <c r="D14" s="74" t="s">
        <v>66</v>
      </c>
      <c r="E14" s="75" t="s">
        <v>66</v>
      </c>
      <c r="F14" s="74">
        <v>0.25694444444444442</v>
      </c>
      <c r="G14" s="77">
        <v>0.25694444444444442</v>
      </c>
      <c r="H14" s="74" t="s">
        <v>32</v>
      </c>
      <c r="I14" s="75"/>
      <c r="J14" s="74">
        <v>0.2986111111111111</v>
      </c>
      <c r="K14" s="77"/>
      <c r="L14" s="74" t="s">
        <v>69</v>
      </c>
      <c r="M14" s="75" t="s">
        <v>69</v>
      </c>
      <c r="N14" s="46">
        <v>3</v>
      </c>
      <c r="O14" s="48">
        <v>1</v>
      </c>
      <c r="P14" s="47">
        <v>100</v>
      </c>
      <c r="Q14" s="53">
        <f t="shared" si="1"/>
        <v>6</v>
      </c>
      <c r="R14" s="55">
        <v>12</v>
      </c>
      <c r="S14" s="19"/>
      <c r="T14" s="20">
        <v>10</v>
      </c>
      <c r="U14" s="17">
        <f t="shared" si="0"/>
        <v>3.84</v>
      </c>
      <c r="V14" s="14">
        <f t="shared" si="2"/>
        <v>131.84</v>
      </c>
    </row>
    <row r="15" spans="2:22" ht="27" thickBot="1" x14ac:dyDescent="0.45">
      <c r="B15" s="72"/>
      <c r="C15" s="73"/>
      <c r="D15" s="74"/>
      <c r="E15" s="75"/>
      <c r="F15" s="74"/>
      <c r="G15" s="77"/>
      <c r="H15" s="76"/>
      <c r="I15" s="77"/>
      <c r="J15" s="74"/>
      <c r="K15" s="77"/>
      <c r="L15" s="76"/>
      <c r="M15" s="77"/>
      <c r="N15" s="46"/>
      <c r="O15" s="46"/>
      <c r="P15" s="47"/>
      <c r="Q15" s="53">
        <f t="shared" si="1"/>
        <v>0</v>
      </c>
      <c r="R15" s="19"/>
      <c r="S15" s="19"/>
      <c r="T15" s="20"/>
      <c r="U15" s="17">
        <f t="shared" si="0"/>
        <v>0</v>
      </c>
      <c r="V15" s="14">
        <f t="shared" si="2"/>
        <v>0</v>
      </c>
    </row>
    <row r="16" spans="2:22" ht="27" thickBot="1" x14ac:dyDescent="0.45">
      <c r="B16" s="86"/>
      <c r="C16" s="87"/>
      <c r="D16" s="76"/>
      <c r="E16" s="77"/>
      <c r="F16" s="74"/>
      <c r="G16" s="77"/>
      <c r="H16" s="76"/>
      <c r="I16" s="77"/>
      <c r="J16" s="74"/>
      <c r="K16" s="77"/>
      <c r="L16" s="76"/>
      <c r="M16" s="77"/>
      <c r="N16" s="48"/>
      <c r="O16" s="48"/>
      <c r="P16" s="47"/>
      <c r="Q16" s="53">
        <f t="shared" si="1"/>
        <v>0</v>
      </c>
      <c r="R16" s="19"/>
      <c r="S16" s="19"/>
      <c r="T16" s="20"/>
      <c r="U16" s="17">
        <f t="shared" si="0"/>
        <v>0</v>
      </c>
      <c r="V16" s="14">
        <f t="shared" si="2"/>
        <v>0</v>
      </c>
    </row>
    <row r="17" spans="1:22" ht="27" thickBot="1" x14ac:dyDescent="0.45">
      <c r="B17" s="86"/>
      <c r="C17" s="87"/>
      <c r="D17" s="76"/>
      <c r="E17" s="77"/>
      <c r="F17" s="74"/>
      <c r="G17" s="77"/>
      <c r="H17" s="74"/>
      <c r="I17" s="77"/>
      <c r="J17" s="74"/>
      <c r="K17" s="77"/>
      <c r="L17" s="76"/>
      <c r="M17" s="77"/>
      <c r="N17" s="48"/>
      <c r="O17" s="48"/>
      <c r="P17" s="47"/>
      <c r="Q17" s="53">
        <f t="shared" si="1"/>
        <v>0</v>
      </c>
      <c r="R17" s="19"/>
      <c r="S17" s="19"/>
      <c r="T17" s="20"/>
      <c r="U17" s="17">
        <f t="shared" si="0"/>
        <v>0</v>
      </c>
      <c r="V17" s="14">
        <f t="shared" si="2"/>
        <v>0</v>
      </c>
    </row>
    <row r="18" spans="1:22" ht="27" thickBot="1" x14ac:dyDescent="0.45">
      <c r="B18" s="86"/>
      <c r="C18" s="87"/>
      <c r="D18" s="76"/>
      <c r="E18" s="77"/>
      <c r="F18" s="74"/>
      <c r="G18" s="77"/>
      <c r="H18" s="76"/>
      <c r="I18" s="77"/>
      <c r="J18" s="74"/>
      <c r="K18" s="77"/>
      <c r="L18" s="76"/>
      <c r="M18" s="77"/>
      <c r="N18" s="48"/>
      <c r="O18" s="48"/>
      <c r="P18" s="47"/>
      <c r="Q18" s="53">
        <f t="shared" si="1"/>
        <v>0</v>
      </c>
      <c r="R18" s="19"/>
      <c r="S18" s="19"/>
      <c r="T18" s="20"/>
      <c r="U18" s="17">
        <f t="shared" si="0"/>
        <v>0</v>
      </c>
      <c r="V18" s="14">
        <f t="shared" si="2"/>
        <v>0</v>
      </c>
    </row>
    <row r="19" spans="1:22" ht="27" thickBot="1" x14ac:dyDescent="0.45">
      <c r="B19" s="86"/>
      <c r="C19" s="87"/>
      <c r="D19" s="76"/>
      <c r="E19" s="77"/>
      <c r="F19" s="74"/>
      <c r="G19" s="77"/>
      <c r="H19" s="76"/>
      <c r="I19" s="77"/>
      <c r="J19" s="74"/>
      <c r="K19" s="77"/>
      <c r="L19" s="76"/>
      <c r="M19" s="77"/>
      <c r="N19" s="48"/>
      <c r="O19" s="48"/>
      <c r="P19" s="47"/>
      <c r="Q19" s="53">
        <f t="shared" si="1"/>
        <v>0</v>
      </c>
      <c r="R19" s="19"/>
      <c r="S19" s="19"/>
      <c r="T19" s="20"/>
      <c r="U19" s="17">
        <f t="shared" si="0"/>
        <v>0</v>
      </c>
      <c r="V19" s="14">
        <f t="shared" si="2"/>
        <v>0</v>
      </c>
    </row>
    <row r="20" spans="1:22" ht="27" thickBot="1" x14ac:dyDescent="0.45">
      <c r="B20" s="86"/>
      <c r="C20" s="87"/>
      <c r="D20" s="76"/>
      <c r="E20" s="77"/>
      <c r="F20" s="74"/>
      <c r="G20" s="77"/>
      <c r="H20" s="76"/>
      <c r="I20" s="77"/>
      <c r="J20" s="74"/>
      <c r="K20" s="77"/>
      <c r="L20" s="76"/>
      <c r="M20" s="77"/>
      <c r="N20" s="46"/>
      <c r="O20" s="46"/>
      <c r="P20" s="47"/>
      <c r="Q20" s="53">
        <f t="shared" si="1"/>
        <v>0</v>
      </c>
      <c r="R20" s="22"/>
      <c r="S20" s="22"/>
      <c r="T20" s="13"/>
      <c r="U20" s="17">
        <f t="shared" si="0"/>
        <v>0</v>
      </c>
      <c r="V20" s="14">
        <f t="shared" si="2"/>
        <v>0</v>
      </c>
    </row>
    <row r="21" spans="1:22" ht="27" thickBot="1" x14ac:dyDescent="0.45">
      <c r="B21" s="86"/>
      <c r="C21" s="87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50"/>
      <c r="O21" s="50"/>
      <c r="P21" s="56"/>
      <c r="Q21" s="53">
        <f t="shared" si="1"/>
        <v>0</v>
      </c>
      <c r="R21" s="24"/>
      <c r="S21" s="24"/>
      <c r="T21" s="23"/>
      <c r="U21" s="17">
        <f t="shared" ref="U21:U27" si="3">(P21+Q21+R21+T21)*0.03</f>
        <v>0</v>
      </c>
      <c r="V21" s="14">
        <f t="shared" si="2"/>
        <v>0</v>
      </c>
    </row>
    <row r="22" spans="1:22" ht="27" thickBot="1" x14ac:dyDescent="0.45">
      <c r="B22" s="86"/>
      <c r="C22" s="87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50"/>
      <c r="O22" s="50"/>
      <c r="P22" s="47"/>
      <c r="Q22" s="53">
        <f t="shared" si="1"/>
        <v>0</v>
      </c>
      <c r="R22" s="24"/>
      <c r="S22" s="24"/>
      <c r="T22" s="23"/>
      <c r="U22" s="17">
        <f t="shared" si="3"/>
        <v>0</v>
      </c>
      <c r="V22" s="14">
        <f t="shared" si="2"/>
        <v>0</v>
      </c>
    </row>
    <row r="23" spans="1:22" ht="27" thickBot="1" x14ac:dyDescent="0.45">
      <c r="B23" s="86"/>
      <c r="C23" s="87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50"/>
      <c r="O23" s="50"/>
      <c r="P23" s="47"/>
      <c r="Q23" s="53">
        <f t="shared" si="1"/>
        <v>0</v>
      </c>
      <c r="R23" s="24"/>
      <c r="S23" s="24"/>
      <c r="T23" s="23"/>
      <c r="U23" s="17">
        <f t="shared" si="3"/>
        <v>0</v>
      </c>
      <c r="V23" s="14">
        <f t="shared" si="2"/>
        <v>0</v>
      </c>
    </row>
    <row r="24" spans="1:22" ht="27" thickBot="1" x14ac:dyDescent="0.45">
      <c r="B24" s="86"/>
      <c r="C24" s="87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50"/>
      <c r="O24" s="50"/>
      <c r="P24" s="47"/>
      <c r="Q24" s="53">
        <f t="shared" si="1"/>
        <v>0</v>
      </c>
      <c r="R24" s="24"/>
      <c r="S24" s="24"/>
      <c r="T24" s="23"/>
      <c r="U24" s="17">
        <f t="shared" si="3"/>
        <v>0</v>
      </c>
      <c r="V24" s="14">
        <f t="shared" si="2"/>
        <v>0</v>
      </c>
    </row>
    <row r="25" spans="1:22" ht="27" thickBot="1" x14ac:dyDescent="0.45">
      <c r="B25" s="86"/>
      <c r="C25" s="87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50"/>
      <c r="O25" s="50"/>
      <c r="P25" s="47"/>
      <c r="Q25" s="53">
        <f t="shared" si="1"/>
        <v>0</v>
      </c>
      <c r="R25" s="24"/>
      <c r="S25" s="24"/>
      <c r="T25" s="23"/>
      <c r="U25" s="17">
        <f t="shared" si="3"/>
        <v>0</v>
      </c>
      <c r="V25" s="14">
        <f t="shared" si="2"/>
        <v>0</v>
      </c>
    </row>
    <row r="26" spans="1:22" ht="27" thickBot="1" x14ac:dyDescent="0.45">
      <c r="B26" s="86"/>
      <c r="C26" s="87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50"/>
      <c r="O26" s="50"/>
      <c r="P26" s="47"/>
      <c r="Q26" s="53">
        <f t="shared" si="1"/>
        <v>0</v>
      </c>
      <c r="R26" s="24"/>
      <c r="S26" s="24"/>
      <c r="T26" s="23"/>
      <c r="U26" s="17">
        <f t="shared" si="3"/>
        <v>0</v>
      </c>
      <c r="V26" s="14">
        <f t="shared" si="2"/>
        <v>0</v>
      </c>
    </row>
    <row r="27" spans="1:22" ht="27" thickBot="1" x14ac:dyDescent="0.45">
      <c r="B27" s="72"/>
      <c r="C27" s="73"/>
      <c r="D27" s="96"/>
      <c r="E27" s="77"/>
      <c r="F27" s="76"/>
      <c r="G27" s="77"/>
      <c r="H27" s="76"/>
      <c r="I27" s="77"/>
      <c r="J27" s="96"/>
      <c r="K27" s="77"/>
      <c r="L27" s="76"/>
      <c r="M27" s="77"/>
      <c r="N27" s="46"/>
      <c r="O27" s="46"/>
      <c r="P27" s="46"/>
      <c r="Q27" s="53">
        <f t="shared" si="1"/>
        <v>0</v>
      </c>
      <c r="R27" s="13"/>
      <c r="S27" s="13"/>
      <c r="T27" s="13"/>
      <c r="U27" s="17">
        <f t="shared" si="3"/>
        <v>0</v>
      </c>
      <c r="V27" s="14">
        <f t="shared" si="2"/>
        <v>0</v>
      </c>
    </row>
    <row r="28" spans="1:22" ht="27" thickBot="1" x14ac:dyDescent="0.45">
      <c r="V28" s="17">
        <f>SUM(V12:V27)</f>
        <v>395.52</v>
      </c>
    </row>
    <row r="29" spans="1:22" ht="27" thickBot="1" x14ac:dyDescent="0.45">
      <c r="B29" s="90" t="s">
        <v>33</v>
      </c>
      <c r="C29" s="91"/>
      <c r="D29" s="92"/>
      <c r="F29" s="97" t="s">
        <v>34</v>
      </c>
      <c r="G29" s="91"/>
      <c r="H29" s="91"/>
      <c r="I29" s="92"/>
      <c r="L29" s="90" t="s">
        <v>35</v>
      </c>
      <c r="M29" s="92"/>
      <c r="T29" s="72" t="s">
        <v>36</v>
      </c>
      <c r="U29" s="73"/>
      <c r="V29" s="13">
        <f>M31</f>
        <v>22</v>
      </c>
    </row>
    <row r="30" spans="1:22" ht="27" thickBot="1" x14ac:dyDescent="0.45">
      <c r="B30" s="26" t="s">
        <v>37</v>
      </c>
      <c r="C30" s="8" t="s">
        <v>38</v>
      </c>
      <c r="D30" s="27" t="s">
        <v>39</v>
      </c>
      <c r="F30" s="28" t="s">
        <v>40</v>
      </c>
      <c r="G30" s="72">
        <v>84658</v>
      </c>
      <c r="H30" s="88"/>
      <c r="I30" s="73"/>
      <c r="L30" s="25" t="s">
        <v>41</v>
      </c>
      <c r="M30" s="29" t="s">
        <v>42</v>
      </c>
      <c r="T30" s="72" t="s">
        <v>43</v>
      </c>
      <c r="U30" s="73"/>
      <c r="V30" s="17">
        <f>V28-V29</f>
        <v>373.52</v>
      </c>
    </row>
    <row r="31" spans="1:22" ht="27" thickBot="1" x14ac:dyDescent="0.45">
      <c r="A31" s="45"/>
      <c r="B31" s="30">
        <v>4.1666666666666664E-2</v>
      </c>
      <c r="C31" s="31">
        <v>6.25E-2</v>
      </c>
      <c r="D31" s="32"/>
      <c r="F31" s="28" t="s">
        <v>38</v>
      </c>
      <c r="G31" s="72">
        <v>84746</v>
      </c>
      <c r="H31" s="88"/>
      <c r="I31" s="73"/>
      <c r="L31" s="35">
        <v>5.367</v>
      </c>
      <c r="M31" s="51">
        <v>22</v>
      </c>
      <c r="T31" s="72" t="s">
        <v>44</v>
      </c>
      <c r="U31" s="73"/>
      <c r="V31" s="13"/>
    </row>
    <row r="32" spans="1:22" ht="27" thickBot="1" x14ac:dyDescent="0.45">
      <c r="B32" s="37">
        <v>8.3333333333333329E-2</v>
      </c>
      <c r="C32" s="38">
        <v>0.125</v>
      </c>
      <c r="D32" s="57"/>
      <c r="F32" s="40" t="s">
        <v>31</v>
      </c>
      <c r="G32" s="72">
        <f>G31-G30</f>
        <v>88</v>
      </c>
      <c r="H32" s="88"/>
      <c r="I32" s="73"/>
      <c r="T32" s="72" t="s">
        <v>45</v>
      </c>
      <c r="U32" s="73"/>
      <c r="V32" s="17">
        <f>V30-V31</f>
        <v>373.52</v>
      </c>
    </row>
    <row r="33" spans="2:21" ht="27" thickBot="1" x14ac:dyDescent="0.45">
      <c r="B33" s="41">
        <v>0.15625</v>
      </c>
      <c r="C33" s="42">
        <v>0.17708333333333334</v>
      </c>
      <c r="D33" s="52"/>
    </row>
    <row r="35" spans="2:21" x14ac:dyDescent="0.4">
      <c r="D35" s="89" t="s">
        <v>46</v>
      </c>
      <c r="E35" s="89"/>
      <c r="F35" s="89"/>
      <c r="G35" s="89"/>
      <c r="H35" s="89"/>
      <c r="I35" s="89"/>
      <c r="J35" s="89"/>
      <c r="K35" s="89"/>
      <c r="M35" s="89" t="s">
        <v>47</v>
      </c>
      <c r="N35" s="89"/>
      <c r="O35" s="6"/>
      <c r="P35" s="6"/>
      <c r="Q35" s="6"/>
      <c r="R35" s="6"/>
      <c r="S35" s="6"/>
      <c r="T35" s="6"/>
      <c r="U35" s="6"/>
    </row>
    <row r="36" spans="2:21" x14ac:dyDescent="0.4">
      <c r="D36" s="89"/>
      <c r="E36" s="89"/>
      <c r="F36" s="89"/>
      <c r="G36" s="89"/>
      <c r="H36" s="89"/>
      <c r="I36" s="89"/>
      <c r="J36" s="89"/>
      <c r="K36" s="89"/>
      <c r="M36" s="89"/>
      <c r="N36" s="89"/>
    </row>
  </sheetData>
  <mergeCells count="129">
    <mergeCell ref="G31:I31"/>
    <mergeCell ref="T31:U31"/>
    <mergeCell ref="G32:I32"/>
    <mergeCell ref="T32:U32"/>
    <mergeCell ref="D35:K36"/>
    <mergeCell ref="M35:N36"/>
    <mergeCell ref="B29:D29"/>
    <mergeCell ref="F29:I29"/>
    <mergeCell ref="L29:M29"/>
    <mergeCell ref="T29:U29"/>
    <mergeCell ref="G30:I30"/>
    <mergeCell ref="T30:U30"/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B13:C13"/>
    <mergeCell ref="D13:E13"/>
    <mergeCell ref="F13:G13"/>
    <mergeCell ref="H13:I13"/>
    <mergeCell ref="J13:K13"/>
    <mergeCell ref="L13:M13"/>
    <mergeCell ref="N10:N11"/>
    <mergeCell ref="O10:O11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2:C12"/>
    <mergeCell ref="D12:E12"/>
    <mergeCell ref="F12:G12"/>
    <mergeCell ref="H12:I12"/>
    <mergeCell ref="J12:K12"/>
    <mergeCell ref="B7:C7"/>
    <mergeCell ref="D7:G7"/>
    <mergeCell ref="J7:K7"/>
    <mergeCell ref="P7:Q7"/>
    <mergeCell ref="B10:C11"/>
    <mergeCell ref="D10:E11"/>
    <mergeCell ref="F10:G11"/>
    <mergeCell ref="H10:I11"/>
    <mergeCell ref="J10:K11"/>
    <mergeCell ref="L10:M11"/>
    <mergeCell ref="L12:M12"/>
    <mergeCell ref="D2:O3"/>
    <mergeCell ref="Q2:U3"/>
    <mergeCell ref="B5:C5"/>
    <mergeCell ref="D5:G5"/>
    <mergeCell ref="J5:K5"/>
    <mergeCell ref="P5:Q5"/>
    <mergeCell ref="Q10:Q11"/>
    <mergeCell ref="T10:T11"/>
    <mergeCell ref="U10:U11"/>
  </mergeCells>
  <pageMargins left="0.7" right="0.7" top="0.75" bottom="0.75" header="0.3" footer="0.3"/>
  <pageSetup scale="42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F5FB-1FDE-41A1-8A4E-C71B3AEBA3D8}">
  <sheetPr>
    <pageSetUpPr fitToPage="1"/>
  </sheetPr>
  <dimension ref="B2:AN35"/>
  <sheetViews>
    <sheetView zoomScale="65" zoomScaleNormal="65" workbookViewId="0">
      <selection activeCell="D7" sqref="D7:G7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4.140625" style="1" customWidth="1"/>
    <col min="4" max="4" width="11.7109375" style="1" customWidth="1"/>
    <col min="5" max="5" width="13.85546875" style="1" customWidth="1"/>
    <col min="6" max="6" width="11.7109375" style="1" bestFit="1" customWidth="1"/>
    <col min="7" max="7" width="5.5703125" style="1" customWidth="1"/>
    <col min="8" max="8" width="9.140625" style="1"/>
    <col min="9" max="9" width="21.5703125" style="1" customWidth="1"/>
    <col min="10" max="11" width="9.140625" style="1"/>
    <col min="12" max="12" width="10.85546875" style="1" customWidth="1"/>
    <col min="13" max="13" width="17" style="1" bestFit="1" customWidth="1"/>
    <col min="14" max="14" width="10.140625" style="1" customWidth="1"/>
    <col min="15" max="15" width="15.140625" style="1" customWidth="1"/>
    <col min="16" max="16" width="14.7109375" style="1" bestFit="1" customWidth="1"/>
    <col min="17" max="17" width="12.7109375" style="1" bestFit="1" customWidth="1"/>
    <col min="18" max="18" width="15.7109375" style="1" customWidth="1"/>
    <col min="19" max="20" width="12.710937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2:40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2:40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5" spans="2:40" x14ac:dyDescent="0.4">
      <c r="B5" s="62" t="s">
        <v>3</v>
      </c>
      <c r="C5" s="62"/>
      <c r="D5" s="63" t="s">
        <v>56</v>
      </c>
      <c r="E5" s="63"/>
      <c r="F5" s="63"/>
      <c r="G5" s="63"/>
      <c r="I5" s="3" t="s">
        <v>5</v>
      </c>
      <c r="J5" s="64" t="s">
        <v>49</v>
      </c>
      <c r="K5" s="64"/>
      <c r="O5" s="44" t="s">
        <v>7</v>
      </c>
      <c r="P5" s="64"/>
      <c r="Q5" s="64"/>
      <c r="R5" s="6" t="s">
        <v>13</v>
      </c>
    </row>
    <row r="6" spans="2:40" x14ac:dyDescent="0.4">
      <c r="P6" s="45"/>
    </row>
    <row r="7" spans="2:40" x14ac:dyDescent="0.4">
      <c r="B7" s="62" t="s">
        <v>9</v>
      </c>
      <c r="C7" s="62"/>
      <c r="D7" s="67"/>
      <c r="E7" s="67"/>
      <c r="F7" s="67"/>
      <c r="G7" s="67"/>
      <c r="I7" s="3" t="s">
        <v>10</v>
      </c>
      <c r="J7" s="64" t="s">
        <v>54</v>
      </c>
      <c r="K7" s="64"/>
      <c r="O7" s="44" t="s">
        <v>12</v>
      </c>
      <c r="P7" s="64"/>
      <c r="Q7" s="64"/>
      <c r="R7" s="6" t="s">
        <v>13</v>
      </c>
    </row>
    <row r="8" spans="2:40" ht="27" thickBot="1" x14ac:dyDescent="0.45"/>
    <row r="9" spans="2:40" x14ac:dyDescent="0.4">
      <c r="B9" s="68" t="s">
        <v>14</v>
      </c>
      <c r="C9" s="69"/>
      <c r="D9" s="68" t="s">
        <v>15</v>
      </c>
      <c r="E9" s="69"/>
      <c r="F9" s="68" t="s">
        <v>16</v>
      </c>
      <c r="G9" s="69"/>
      <c r="H9" s="68" t="s">
        <v>17</v>
      </c>
      <c r="I9" s="69"/>
      <c r="J9" s="68" t="s">
        <v>18</v>
      </c>
      <c r="K9" s="69"/>
      <c r="L9" s="68" t="s">
        <v>19</v>
      </c>
      <c r="M9" s="69"/>
      <c r="N9" s="65" t="s">
        <v>20</v>
      </c>
      <c r="O9" s="65" t="s">
        <v>21</v>
      </c>
      <c r="P9" s="7" t="s">
        <v>22</v>
      </c>
      <c r="Q9" s="65" t="s">
        <v>23</v>
      </c>
      <c r="R9" s="8" t="s">
        <v>24</v>
      </c>
      <c r="S9" s="9">
        <v>0.2</v>
      </c>
      <c r="T9" s="65" t="s">
        <v>25</v>
      </c>
      <c r="U9" s="65" t="s">
        <v>26</v>
      </c>
      <c r="V9" s="7" t="s">
        <v>27</v>
      </c>
    </row>
    <row r="10" spans="2:40" ht="27" thickBot="1" x14ac:dyDescent="0.45">
      <c r="B10" s="70"/>
      <c r="C10" s="71"/>
      <c r="D10" s="70"/>
      <c r="E10" s="71"/>
      <c r="F10" s="70"/>
      <c r="G10" s="71"/>
      <c r="H10" s="70"/>
      <c r="I10" s="71"/>
      <c r="J10" s="70"/>
      <c r="K10" s="71"/>
      <c r="L10" s="70"/>
      <c r="M10" s="71"/>
      <c r="N10" s="66"/>
      <c r="O10" s="66"/>
      <c r="P10" s="10" t="s">
        <v>28</v>
      </c>
      <c r="Q10" s="66"/>
      <c r="R10" s="11" t="s">
        <v>29</v>
      </c>
      <c r="S10" s="11" t="s">
        <v>30</v>
      </c>
      <c r="T10" s="66"/>
      <c r="U10" s="66"/>
      <c r="V10" s="12" t="s">
        <v>31</v>
      </c>
    </row>
    <row r="11" spans="2:40" ht="27" thickBot="1" x14ac:dyDescent="0.45">
      <c r="B11" s="86" t="s">
        <v>57</v>
      </c>
      <c r="C11" s="87"/>
      <c r="D11" s="74"/>
      <c r="E11" s="75"/>
      <c r="F11" s="74"/>
      <c r="G11" s="75"/>
      <c r="H11" s="76"/>
      <c r="I11" s="77"/>
      <c r="J11" s="74"/>
      <c r="K11" s="75"/>
      <c r="L11" s="76"/>
      <c r="M11" s="77"/>
      <c r="N11" s="46"/>
      <c r="O11" s="46"/>
      <c r="P11" s="47"/>
      <c r="Q11" s="15">
        <f>O11*5</f>
        <v>0</v>
      </c>
      <c r="R11" s="16"/>
      <c r="S11" s="16"/>
      <c r="T11" s="17"/>
      <c r="U11" s="16">
        <f>0.03*(P11+Q11+R11+T11)</f>
        <v>0</v>
      </c>
      <c r="V11" s="17">
        <f t="shared" ref="V11:V26" si="0">P11+Q11+R11+S11+T11+U11</f>
        <v>0</v>
      </c>
    </row>
    <row r="12" spans="2:40" ht="27" thickBot="1" x14ac:dyDescent="0.45">
      <c r="B12" s="86"/>
      <c r="C12" s="87"/>
      <c r="D12" s="74"/>
      <c r="E12" s="75"/>
      <c r="F12" s="74"/>
      <c r="G12" s="75"/>
      <c r="H12" s="76"/>
      <c r="I12" s="77"/>
      <c r="J12" s="74"/>
      <c r="K12" s="75"/>
      <c r="L12" s="74"/>
      <c r="M12" s="75"/>
      <c r="N12" s="46"/>
      <c r="O12" s="46"/>
      <c r="P12" s="47"/>
      <c r="Q12" s="15">
        <f t="shared" ref="Q12:Q26" si="1">O12*5</f>
        <v>0</v>
      </c>
      <c r="R12" s="16"/>
      <c r="S12" s="16"/>
      <c r="T12" s="17"/>
      <c r="U12" s="16">
        <f t="shared" ref="U12:U19" si="2">0.03*(P12+Q12+R12+T12)</f>
        <v>0</v>
      </c>
      <c r="V12" s="17">
        <f>P12+Q12+R12+S12+T12+U12</f>
        <v>0</v>
      </c>
    </row>
    <row r="13" spans="2:40" ht="27" thickBot="1" x14ac:dyDescent="0.45">
      <c r="B13" s="86"/>
      <c r="C13" s="87"/>
      <c r="D13" s="74"/>
      <c r="E13" s="75"/>
      <c r="F13" s="74"/>
      <c r="G13" s="75"/>
      <c r="H13" s="76"/>
      <c r="I13" s="77"/>
      <c r="J13" s="74"/>
      <c r="K13" s="75"/>
      <c r="L13" s="74"/>
      <c r="M13" s="75"/>
      <c r="N13" s="46"/>
      <c r="O13" s="46"/>
      <c r="P13" s="47"/>
      <c r="Q13" s="15">
        <f t="shared" si="1"/>
        <v>0</v>
      </c>
      <c r="R13" s="16"/>
      <c r="S13" s="16"/>
      <c r="T13" s="17"/>
      <c r="U13" s="16">
        <f t="shared" si="2"/>
        <v>0</v>
      </c>
      <c r="V13" s="17">
        <f>P13+Q13+R13+S13+T13+U13</f>
        <v>0</v>
      </c>
      <c r="W13" s="78"/>
      <c r="X13" s="78"/>
      <c r="Y13" s="79"/>
      <c r="Z13" s="79"/>
      <c r="AA13" s="78"/>
      <c r="AB13" s="78"/>
      <c r="AC13" s="79"/>
      <c r="AD13" s="79"/>
      <c r="AE13" s="78"/>
      <c r="AF13" s="78"/>
      <c r="AI13" s="21"/>
      <c r="AJ13" s="21"/>
      <c r="AK13" s="21"/>
      <c r="AL13" s="21"/>
      <c r="AM13" s="21"/>
      <c r="AN13" s="21"/>
    </row>
    <row r="14" spans="2:40" ht="27" thickBot="1" x14ac:dyDescent="0.45">
      <c r="B14" s="86"/>
      <c r="C14" s="87"/>
      <c r="D14" s="74"/>
      <c r="E14" s="75"/>
      <c r="F14" s="74"/>
      <c r="G14" s="75"/>
      <c r="H14" s="76"/>
      <c r="I14" s="77"/>
      <c r="J14" s="74"/>
      <c r="K14" s="75"/>
      <c r="L14" s="74"/>
      <c r="M14" s="77"/>
      <c r="N14" s="46"/>
      <c r="O14" s="46"/>
      <c r="P14" s="47"/>
      <c r="Q14" s="15">
        <f t="shared" si="1"/>
        <v>0</v>
      </c>
      <c r="R14" s="16"/>
      <c r="S14" s="16"/>
      <c r="T14" s="17"/>
      <c r="U14" s="16">
        <f t="shared" si="2"/>
        <v>0</v>
      </c>
      <c r="V14" s="17">
        <f t="shared" si="0"/>
        <v>0</v>
      </c>
    </row>
    <row r="15" spans="2:40" ht="27" thickBot="1" x14ac:dyDescent="0.45">
      <c r="B15" s="86"/>
      <c r="C15" s="87"/>
      <c r="D15" s="74"/>
      <c r="E15" s="75"/>
      <c r="F15" s="74"/>
      <c r="G15" s="75"/>
      <c r="H15" s="76"/>
      <c r="I15" s="77"/>
      <c r="J15" s="74"/>
      <c r="K15" s="75"/>
      <c r="L15" s="76"/>
      <c r="M15" s="77"/>
      <c r="N15" s="46"/>
      <c r="O15" s="46"/>
      <c r="P15" s="47"/>
      <c r="Q15" s="15">
        <f t="shared" si="1"/>
        <v>0</v>
      </c>
      <c r="R15" s="16"/>
      <c r="S15" s="16"/>
      <c r="T15" s="17"/>
      <c r="U15" s="16">
        <f t="shared" si="2"/>
        <v>0</v>
      </c>
      <c r="V15" s="17">
        <f t="shared" si="0"/>
        <v>0</v>
      </c>
    </row>
    <row r="16" spans="2:40" ht="27" thickBot="1" x14ac:dyDescent="0.45">
      <c r="B16" s="86"/>
      <c r="C16" s="87"/>
      <c r="D16" s="74"/>
      <c r="E16" s="75"/>
      <c r="F16" s="74"/>
      <c r="G16" s="75"/>
      <c r="H16" s="76"/>
      <c r="I16" s="77"/>
      <c r="J16" s="74"/>
      <c r="K16" s="75"/>
      <c r="L16" s="76"/>
      <c r="M16" s="77"/>
      <c r="N16" s="48"/>
      <c r="O16" s="48"/>
      <c r="P16" s="47"/>
      <c r="Q16" s="15">
        <f t="shared" si="1"/>
        <v>0</v>
      </c>
      <c r="R16" s="19"/>
      <c r="S16" s="19"/>
      <c r="T16" s="20"/>
      <c r="U16" s="17">
        <f t="shared" si="2"/>
        <v>0</v>
      </c>
      <c r="V16" s="17">
        <f t="shared" si="0"/>
        <v>0</v>
      </c>
    </row>
    <row r="17" spans="2:22" ht="27" thickBot="1" x14ac:dyDescent="0.45">
      <c r="B17" s="86"/>
      <c r="C17" s="87"/>
      <c r="D17" s="76"/>
      <c r="E17" s="77"/>
      <c r="F17" s="74"/>
      <c r="G17" s="75"/>
      <c r="H17" s="76"/>
      <c r="I17" s="77"/>
      <c r="J17" s="74"/>
      <c r="K17" s="75"/>
      <c r="L17" s="76"/>
      <c r="M17" s="77"/>
      <c r="N17" s="48"/>
      <c r="O17" s="48"/>
      <c r="P17" s="47"/>
      <c r="Q17" s="15">
        <f t="shared" si="1"/>
        <v>0</v>
      </c>
      <c r="R17" s="19"/>
      <c r="S17" s="49"/>
      <c r="T17" s="20"/>
      <c r="U17" s="17">
        <f t="shared" si="2"/>
        <v>0</v>
      </c>
      <c r="V17" s="17">
        <f t="shared" si="0"/>
        <v>0</v>
      </c>
    </row>
    <row r="18" spans="2:22" ht="27" thickBot="1" x14ac:dyDescent="0.45">
      <c r="B18" s="86"/>
      <c r="C18" s="87"/>
      <c r="D18" s="76"/>
      <c r="E18" s="77"/>
      <c r="F18" s="74"/>
      <c r="G18" s="77"/>
      <c r="H18" s="76"/>
      <c r="I18" s="77"/>
      <c r="J18" s="74"/>
      <c r="K18" s="77"/>
      <c r="L18" s="76"/>
      <c r="M18" s="77"/>
      <c r="N18" s="48"/>
      <c r="O18" s="48"/>
      <c r="P18" s="47"/>
      <c r="Q18" s="15">
        <f t="shared" si="1"/>
        <v>0</v>
      </c>
      <c r="R18" s="49"/>
      <c r="S18" s="49"/>
      <c r="T18" s="18"/>
      <c r="U18" s="17">
        <f t="shared" si="2"/>
        <v>0</v>
      </c>
      <c r="V18" s="17">
        <f t="shared" si="0"/>
        <v>0</v>
      </c>
    </row>
    <row r="19" spans="2:22" ht="27" thickBot="1" x14ac:dyDescent="0.45">
      <c r="B19" s="86"/>
      <c r="C19" s="87"/>
      <c r="D19" s="76"/>
      <c r="E19" s="77"/>
      <c r="F19" s="76"/>
      <c r="G19" s="77"/>
      <c r="H19" s="76"/>
      <c r="I19" s="77"/>
      <c r="J19" s="76"/>
      <c r="K19" s="77"/>
      <c r="L19" s="76"/>
      <c r="M19" s="77"/>
      <c r="N19" s="48"/>
      <c r="O19" s="48"/>
      <c r="P19" s="47"/>
      <c r="Q19" s="15">
        <f t="shared" si="1"/>
        <v>0</v>
      </c>
      <c r="R19" s="49"/>
      <c r="S19" s="49"/>
      <c r="T19" s="18"/>
      <c r="U19" s="17">
        <f t="shared" si="2"/>
        <v>0</v>
      </c>
      <c r="V19" s="17">
        <f t="shared" si="0"/>
        <v>0</v>
      </c>
    </row>
    <row r="20" spans="2:22" ht="27" thickBot="1" x14ac:dyDescent="0.45">
      <c r="B20" s="86"/>
      <c r="C20" s="87"/>
      <c r="D20" s="76"/>
      <c r="E20" s="77"/>
      <c r="F20" s="76"/>
      <c r="G20" s="77"/>
      <c r="H20" s="76"/>
      <c r="I20" s="77"/>
      <c r="J20" s="76"/>
      <c r="K20" s="77"/>
      <c r="L20" s="76"/>
      <c r="M20" s="77"/>
      <c r="N20" s="46"/>
      <c r="O20" s="46"/>
      <c r="P20" s="47"/>
      <c r="Q20" s="15">
        <f t="shared" si="1"/>
        <v>0</v>
      </c>
      <c r="R20" s="22"/>
      <c r="S20" s="22"/>
      <c r="T20" s="13"/>
      <c r="U20" s="17">
        <f t="shared" ref="U20:U26" si="3">(P20+Q20+R20+T20)*0.03</f>
        <v>0</v>
      </c>
      <c r="V20" s="17">
        <f t="shared" si="0"/>
        <v>0</v>
      </c>
    </row>
    <row r="21" spans="2:22" ht="27" thickBot="1" x14ac:dyDescent="0.45">
      <c r="B21" s="86"/>
      <c r="C21" s="87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50"/>
      <c r="O21" s="50"/>
      <c r="P21" s="47"/>
      <c r="Q21" s="15">
        <f t="shared" si="1"/>
        <v>0</v>
      </c>
      <c r="R21" s="24"/>
      <c r="S21" s="24"/>
      <c r="T21" s="23"/>
      <c r="U21" s="17">
        <f t="shared" si="3"/>
        <v>0</v>
      </c>
      <c r="V21" s="17">
        <f t="shared" si="0"/>
        <v>0</v>
      </c>
    </row>
    <row r="22" spans="2:22" ht="27" thickBot="1" x14ac:dyDescent="0.45">
      <c r="B22" s="86"/>
      <c r="C22" s="87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50"/>
      <c r="O22" s="50"/>
      <c r="P22" s="47"/>
      <c r="Q22" s="15">
        <f t="shared" si="1"/>
        <v>0</v>
      </c>
      <c r="R22" s="24"/>
      <c r="S22" s="24"/>
      <c r="T22" s="23"/>
      <c r="U22" s="17">
        <f t="shared" si="3"/>
        <v>0</v>
      </c>
      <c r="V22" s="17">
        <f t="shared" si="0"/>
        <v>0</v>
      </c>
    </row>
    <row r="23" spans="2:22" ht="27" thickBot="1" x14ac:dyDescent="0.45">
      <c r="B23" s="86"/>
      <c r="C23" s="87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50"/>
      <c r="O23" s="50"/>
      <c r="P23" s="47"/>
      <c r="Q23" s="15">
        <f t="shared" si="1"/>
        <v>0</v>
      </c>
      <c r="R23" s="24"/>
      <c r="S23" s="24"/>
      <c r="T23" s="23"/>
      <c r="U23" s="17">
        <f t="shared" si="3"/>
        <v>0</v>
      </c>
      <c r="V23" s="17">
        <f t="shared" si="0"/>
        <v>0</v>
      </c>
    </row>
    <row r="24" spans="2:22" ht="27" thickBot="1" x14ac:dyDescent="0.45">
      <c r="B24" s="86"/>
      <c r="C24" s="87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50"/>
      <c r="O24" s="50"/>
      <c r="P24" s="47"/>
      <c r="Q24" s="15">
        <f t="shared" si="1"/>
        <v>0</v>
      </c>
      <c r="R24" s="24"/>
      <c r="S24" s="24"/>
      <c r="T24" s="23"/>
      <c r="U24" s="17">
        <f t="shared" si="3"/>
        <v>0</v>
      </c>
      <c r="V24" s="17">
        <f t="shared" si="0"/>
        <v>0</v>
      </c>
    </row>
    <row r="25" spans="2:22" ht="27" thickBot="1" x14ac:dyDescent="0.45">
      <c r="B25" s="86"/>
      <c r="C25" s="87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50"/>
      <c r="O25" s="50"/>
      <c r="P25" s="47"/>
      <c r="Q25" s="15">
        <f t="shared" si="1"/>
        <v>0</v>
      </c>
      <c r="R25" s="24"/>
      <c r="S25" s="24"/>
      <c r="T25" s="23"/>
      <c r="U25" s="17">
        <f t="shared" si="3"/>
        <v>0</v>
      </c>
      <c r="V25" s="17">
        <f t="shared" si="0"/>
        <v>0</v>
      </c>
    </row>
    <row r="26" spans="2:22" ht="27" thickBot="1" x14ac:dyDescent="0.45">
      <c r="B26" s="72"/>
      <c r="C26" s="73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46"/>
      <c r="O26" s="46"/>
      <c r="P26" s="46"/>
      <c r="Q26" s="15">
        <f t="shared" si="1"/>
        <v>0</v>
      </c>
      <c r="R26" s="13"/>
      <c r="S26" s="13"/>
      <c r="T26" s="13"/>
      <c r="U26" s="17">
        <f t="shared" si="3"/>
        <v>0</v>
      </c>
      <c r="V26" s="17">
        <f t="shared" si="0"/>
        <v>0</v>
      </c>
    </row>
    <row r="27" spans="2:22" ht="27" thickBot="1" x14ac:dyDescent="0.45">
      <c r="V27" s="17">
        <f>SUM(V11:V26)</f>
        <v>0</v>
      </c>
    </row>
    <row r="28" spans="2:22" ht="27" thickBot="1" x14ac:dyDescent="0.45">
      <c r="B28" s="90" t="s">
        <v>33</v>
      </c>
      <c r="C28" s="91"/>
      <c r="D28" s="92"/>
      <c r="F28" s="90" t="s">
        <v>34</v>
      </c>
      <c r="G28" s="91"/>
      <c r="H28" s="91"/>
      <c r="I28" s="92"/>
      <c r="L28" s="90" t="s">
        <v>35</v>
      </c>
      <c r="M28" s="92"/>
      <c r="T28" s="72" t="s">
        <v>36</v>
      </c>
      <c r="U28" s="73"/>
      <c r="V28" s="17">
        <f>M30</f>
        <v>10.83</v>
      </c>
    </row>
    <row r="29" spans="2:22" ht="27" thickBot="1" x14ac:dyDescent="0.45">
      <c r="B29" s="26" t="s">
        <v>37</v>
      </c>
      <c r="C29" s="8" t="s">
        <v>38</v>
      </c>
      <c r="D29" s="27" t="s">
        <v>39</v>
      </c>
      <c r="F29" s="28" t="s">
        <v>40</v>
      </c>
      <c r="G29" s="72">
        <v>13116</v>
      </c>
      <c r="H29" s="88"/>
      <c r="I29" s="73"/>
      <c r="L29" s="25" t="s">
        <v>41</v>
      </c>
      <c r="M29" s="29" t="s">
        <v>42</v>
      </c>
      <c r="T29" s="72" t="s">
        <v>43</v>
      </c>
      <c r="U29" s="73"/>
      <c r="V29" s="17">
        <f>V27-V28</f>
        <v>-10.83</v>
      </c>
    </row>
    <row r="30" spans="2:22" ht="27" thickBot="1" x14ac:dyDescent="0.45">
      <c r="B30" s="30">
        <v>0.16666666666666666</v>
      </c>
      <c r="C30" s="31">
        <v>0.1875</v>
      </c>
      <c r="D30" s="32"/>
      <c r="F30" s="28" t="s">
        <v>38</v>
      </c>
      <c r="G30" s="72">
        <v>13150</v>
      </c>
      <c r="H30" s="88"/>
      <c r="I30" s="73"/>
      <c r="L30" s="35">
        <v>2.87</v>
      </c>
      <c r="M30" s="51">
        <v>10.83</v>
      </c>
      <c r="T30" s="72" t="s">
        <v>44</v>
      </c>
      <c r="U30" s="73"/>
      <c r="V30" s="13"/>
    </row>
    <row r="31" spans="2:22" ht="27" thickBot="1" x14ac:dyDescent="0.45">
      <c r="B31" s="37">
        <v>0.25</v>
      </c>
      <c r="C31" s="38">
        <v>0.29166666666666669</v>
      </c>
      <c r="D31" s="39"/>
      <c r="F31" s="40" t="s">
        <v>31</v>
      </c>
      <c r="G31" s="72">
        <f>G30-G29</f>
        <v>34</v>
      </c>
      <c r="H31" s="88"/>
      <c r="I31" s="73"/>
      <c r="T31" s="72" t="s">
        <v>45</v>
      </c>
      <c r="U31" s="73"/>
      <c r="V31" s="17">
        <f>V29-V30</f>
        <v>-10.83</v>
      </c>
    </row>
    <row r="32" spans="2:22" ht="27" thickBot="1" x14ac:dyDescent="0.45">
      <c r="B32" s="41">
        <v>0.2986111111111111</v>
      </c>
      <c r="C32" s="42">
        <v>0.31944444444444442</v>
      </c>
      <c r="D32" s="52"/>
    </row>
    <row r="34" spans="4:21" x14ac:dyDescent="0.4">
      <c r="D34" s="89" t="s">
        <v>46</v>
      </c>
      <c r="E34" s="89"/>
      <c r="F34" s="89"/>
      <c r="G34" s="89"/>
      <c r="H34" s="89"/>
      <c r="I34" s="89"/>
      <c r="J34" s="89"/>
      <c r="K34" s="89"/>
      <c r="M34" s="89" t="s">
        <v>47</v>
      </c>
      <c r="N34" s="89"/>
      <c r="O34" s="6"/>
      <c r="P34" s="6"/>
      <c r="Q34" s="6"/>
      <c r="R34" s="6"/>
      <c r="S34" s="6"/>
      <c r="T34" s="6"/>
      <c r="U34" s="6"/>
    </row>
    <row r="35" spans="4:21" x14ac:dyDescent="0.4">
      <c r="D35" s="89"/>
      <c r="E35" s="89"/>
      <c r="F35" s="89"/>
      <c r="G35" s="89"/>
      <c r="H35" s="89"/>
      <c r="I35" s="89"/>
      <c r="J35" s="89"/>
      <c r="K35" s="89"/>
      <c r="M35" s="89"/>
      <c r="N35" s="89"/>
    </row>
  </sheetData>
  <mergeCells count="134">
    <mergeCell ref="G30:I30"/>
    <mergeCell ref="T30:U30"/>
    <mergeCell ref="G31:I31"/>
    <mergeCell ref="T31:U31"/>
    <mergeCell ref="D34:K35"/>
    <mergeCell ref="M34:N35"/>
    <mergeCell ref="B28:D28"/>
    <mergeCell ref="F28:I28"/>
    <mergeCell ref="L28:M28"/>
    <mergeCell ref="T28:U28"/>
    <mergeCell ref="G29:I29"/>
    <mergeCell ref="T29:U29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L14:M14"/>
    <mergeCell ref="B15:C15"/>
    <mergeCell ref="D15:E15"/>
    <mergeCell ref="F15:G15"/>
    <mergeCell ref="H15:I15"/>
    <mergeCell ref="J15:K15"/>
    <mergeCell ref="L15:M15"/>
    <mergeCell ref="Y13:Z13"/>
    <mergeCell ref="AA13:AB13"/>
    <mergeCell ref="AC13:AD13"/>
    <mergeCell ref="AE13:AF13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N9:N10"/>
    <mergeCell ref="O9:O10"/>
    <mergeCell ref="W13:X13"/>
    <mergeCell ref="B11:C11"/>
    <mergeCell ref="D11:E11"/>
    <mergeCell ref="F11:G11"/>
    <mergeCell ref="H11:I11"/>
    <mergeCell ref="J11:K11"/>
    <mergeCell ref="L11:M11"/>
    <mergeCell ref="D2:O3"/>
    <mergeCell ref="Q2:U3"/>
    <mergeCell ref="B5:C5"/>
    <mergeCell ref="D5:G5"/>
    <mergeCell ref="J5:K5"/>
    <mergeCell ref="P5:Q5"/>
    <mergeCell ref="Q9:Q10"/>
    <mergeCell ref="T9:T10"/>
    <mergeCell ref="U9:U10"/>
    <mergeCell ref="B7:C7"/>
    <mergeCell ref="D7:G7"/>
    <mergeCell ref="J7:K7"/>
    <mergeCell ref="P7:Q7"/>
    <mergeCell ref="B9:C10"/>
    <mergeCell ref="D9:E10"/>
    <mergeCell ref="F9:G10"/>
    <mergeCell ref="H9:I10"/>
    <mergeCell ref="J9:K10"/>
    <mergeCell ref="L9:M10"/>
  </mergeCells>
  <pageMargins left="0.7" right="0.7" top="0.75" bottom="0.75" header="0.3" footer="0.3"/>
  <pageSetup scale="43" fitToHeight="0" orientation="landscape" horizontalDpi="0" verticalDpi="0" r:id="rId1"/>
  <colBreaks count="1" manualBreakCount="1">
    <brk id="2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4C5B-79CD-4DBA-8161-451CF636BF06}">
  <dimension ref="B2:AP33"/>
  <sheetViews>
    <sheetView zoomScale="65" zoomScaleNormal="65" zoomScaleSheetLayoutView="75" workbookViewId="0">
      <selection activeCell="AB17" sqref="AB17"/>
    </sheetView>
  </sheetViews>
  <sheetFormatPr defaultRowHeight="26.25" x14ac:dyDescent="0.4"/>
  <cols>
    <col min="1" max="1" width="2.28515625" style="1" customWidth="1"/>
    <col min="2" max="2" width="17.85546875" style="1" customWidth="1"/>
    <col min="3" max="3" width="14.140625" style="1" customWidth="1"/>
    <col min="4" max="4" width="11.7109375" style="1" customWidth="1"/>
    <col min="5" max="5" width="11.85546875" style="1" customWidth="1"/>
    <col min="6" max="6" width="11.7109375" style="1" bestFit="1" customWidth="1"/>
    <col min="7" max="7" width="5.5703125" style="1" customWidth="1"/>
    <col min="8" max="8" width="9.140625" style="1"/>
    <col min="9" max="9" width="16.28515625" style="1" bestFit="1" customWidth="1"/>
    <col min="10" max="10" width="9.5703125" style="1" customWidth="1"/>
    <col min="11" max="11" width="9.85546875" style="1" customWidth="1"/>
    <col min="12" max="12" width="16.28515625" style="1" bestFit="1" customWidth="1"/>
    <col min="13" max="13" width="11.7109375" style="1" customWidth="1"/>
    <col min="14" max="14" width="11.7109375" style="1" bestFit="1" customWidth="1"/>
    <col min="15" max="15" width="17" style="1" bestFit="1" customWidth="1"/>
    <col min="16" max="16" width="14.85546875" style="1" customWidth="1"/>
    <col min="17" max="17" width="11.28515625" style="1" customWidth="1"/>
    <col min="18" max="18" width="15.7109375" style="1" customWidth="1"/>
    <col min="19" max="20" width="10.5703125" style="1" bestFit="1" customWidth="1"/>
    <col min="21" max="21" width="14.42578125" style="1" customWidth="1"/>
    <col min="22" max="22" width="19" style="1" customWidth="1"/>
    <col min="23" max="16384" width="9.140625" style="1"/>
  </cols>
  <sheetData>
    <row r="2" spans="2:42" x14ac:dyDescent="0.4">
      <c r="D2" s="61" t="s">
        <v>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2"/>
      <c r="Q2" s="61" t="s">
        <v>1</v>
      </c>
      <c r="R2" s="61"/>
      <c r="S2" s="61"/>
      <c r="T2" s="61"/>
      <c r="U2" s="61"/>
    </row>
    <row r="3" spans="2:42" x14ac:dyDescent="0.4">
      <c r="C3" s="1" t="s">
        <v>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"/>
      <c r="Q3" s="61"/>
      <c r="R3" s="61"/>
      <c r="S3" s="61"/>
      <c r="T3" s="61"/>
      <c r="U3" s="61"/>
    </row>
    <row r="4" spans="2:42" x14ac:dyDescent="0.4">
      <c r="Q4" s="1" t="s">
        <v>2</v>
      </c>
    </row>
    <row r="5" spans="2:42" x14ac:dyDescent="0.4">
      <c r="B5" s="62" t="s">
        <v>3</v>
      </c>
      <c r="C5" s="62"/>
      <c r="D5" s="63" t="s">
        <v>55</v>
      </c>
      <c r="E5" s="63"/>
      <c r="F5" s="63"/>
      <c r="G5" s="63"/>
      <c r="I5" s="3" t="s">
        <v>5</v>
      </c>
      <c r="J5" s="64" t="s">
        <v>6</v>
      </c>
      <c r="K5" s="64"/>
      <c r="L5" s="3" t="s">
        <v>5</v>
      </c>
      <c r="M5" s="5" t="s">
        <v>53</v>
      </c>
      <c r="O5" s="3" t="s">
        <v>7</v>
      </c>
      <c r="P5" s="64" t="s">
        <v>50</v>
      </c>
      <c r="Q5" s="64"/>
      <c r="R5" s="6" t="s">
        <v>8</v>
      </c>
    </row>
    <row r="7" spans="2:42" x14ac:dyDescent="0.4">
      <c r="B7" s="62" t="s">
        <v>9</v>
      </c>
      <c r="C7" s="62"/>
      <c r="D7" s="67">
        <v>45421</v>
      </c>
      <c r="E7" s="63"/>
      <c r="F7" s="63"/>
      <c r="G7" s="63"/>
      <c r="I7" s="3" t="s">
        <v>10</v>
      </c>
      <c r="J7" s="64" t="s">
        <v>6</v>
      </c>
      <c r="K7" s="64"/>
      <c r="O7" s="3" t="s">
        <v>12</v>
      </c>
      <c r="P7" s="64" t="s">
        <v>51</v>
      </c>
      <c r="Q7" s="64"/>
      <c r="R7" s="6" t="s">
        <v>13</v>
      </c>
    </row>
    <row r="9" spans="2:42" ht="27" thickBot="1" x14ac:dyDescent="0.45"/>
    <row r="10" spans="2:42" x14ac:dyDescent="0.4">
      <c r="B10" s="68" t="s">
        <v>14</v>
      </c>
      <c r="C10" s="69"/>
      <c r="D10" s="68" t="s">
        <v>15</v>
      </c>
      <c r="E10" s="69"/>
      <c r="F10" s="68" t="s">
        <v>16</v>
      </c>
      <c r="G10" s="69"/>
      <c r="H10" s="68" t="s">
        <v>17</v>
      </c>
      <c r="I10" s="69"/>
      <c r="J10" s="68" t="s">
        <v>18</v>
      </c>
      <c r="K10" s="69"/>
      <c r="L10" s="68" t="s">
        <v>19</v>
      </c>
      <c r="M10" s="69"/>
      <c r="N10" s="65" t="s">
        <v>20</v>
      </c>
      <c r="O10" s="65" t="s">
        <v>21</v>
      </c>
      <c r="P10" s="7" t="s">
        <v>22</v>
      </c>
      <c r="Q10" s="65" t="s">
        <v>23</v>
      </c>
      <c r="R10" s="8" t="s">
        <v>24</v>
      </c>
      <c r="S10" s="9">
        <v>0.2</v>
      </c>
      <c r="T10" s="65" t="s">
        <v>25</v>
      </c>
      <c r="U10" s="65" t="s">
        <v>26</v>
      </c>
      <c r="V10" s="7" t="s">
        <v>27</v>
      </c>
    </row>
    <row r="11" spans="2:42" ht="27" thickBot="1" x14ac:dyDescent="0.45">
      <c r="B11" s="94"/>
      <c r="C11" s="95"/>
      <c r="D11" s="94"/>
      <c r="E11" s="95"/>
      <c r="F11" s="94"/>
      <c r="G11" s="95"/>
      <c r="H11" s="70"/>
      <c r="I11" s="71"/>
      <c r="J11" s="70"/>
      <c r="K11" s="71"/>
      <c r="L11" s="70"/>
      <c r="M11" s="71"/>
      <c r="N11" s="66"/>
      <c r="O11" s="66"/>
      <c r="P11" s="10" t="s">
        <v>28</v>
      </c>
      <c r="Q11" s="66"/>
      <c r="R11" s="11" t="s">
        <v>29</v>
      </c>
      <c r="S11" s="11" t="s">
        <v>30</v>
      </c>
      <c r="T11" s="93"/>
      <c r="U11" s="93"/>
      <c r="V11" s="12" t="s">
        <v>31</v>
      </c>
    </row>
    <row r="12" spans="2:42" ht="27" thickBot="1" x14ac:dyDescent="0.45">
      <c r="B12" s="86" t="s">
        <v>58</v>
      </c>
      <c r="C12" s="87"/>
      <c r="D12" s="101" t="s">
        <v>59</v>
      </c>
      <c r="E12" s="102"/>
      <c r="F12" s="100">
        <v>0.3298611111111111</v>
      </c>
      <c r="G12" s="73"/>
      <c r="H12" s="100" t="s">
        <v>32</v>
      </c>
      <c r="I12" s="73"/>
      <c r="J12" s="100">
        <v>0.37152777777777779</v>
      </c>
      <c r="K12" s="73"/>
      <c r="L12" s="72" t="s">
        <v>52</v>
      </c>
      <c r="M12" s="73"/>
      <c r="N12" s="13">
        <v>2</v>
      </c>
      <c r="O12" s="13">
        <v>1</v>
      </c>
      <c r="P12" s="14">
        <v>100</v>
      </c>
      <c r="Q12" s="15">
        <f>O12*6</f>
        <v>6</v>
      </c>
      <c r="R12" s="16">
        <v>12</v>
      </c>
      <c r="S12" s="16"/>
      <c r="T12" s="17"/>
      <c r="U12" s="17">
        <f t="shared" ref="U12:U18" si="0">0.03*(P12+Q12+R12+T12)</f>
        <v>3.54</v>
      </c>
      <c r="V12" s="17">
        <f>P12+Q12+R12+S12+T12+U12</f>
        <v>121.54</v>
      </c>
    </row>
    <row r="13" spans="2:42" ht="27" thickBot="1" x14ac:dyDescent="0.45">
      <c r="B13" s="86" t="s">
        <v>58</v>
      </c>
      <c r="C13" s="87"/>
      <c r="D13" s="101" t="s">
        <v>60</v>
      </c>
      <c r="E13" s="102"/>
      <c r="F13" s="100">
        <v>0.27083333333333331</v>
      </c>
      <c r="G13" s="73"/>
      <c r="H13" s="72" t="s">
        <v>32</v>
      </c>
      <c r="I13" s="73"/>
      <c r="J13" s="100">
        <v>0.3125</v>
      </c>
      <c r="K13" s="73"/>
      <c r="L13" s="72" t="s">
        <v>61</v>
      </c>
      <c r="M13" s="73"/>
      <c r="N13" s="13">
        <v>9</v>
      </c>
      <c r="O13" s="18">
        <v>1</v>
      </c>
      <c r="P13" s="14">
        <v>100</v>
      </c>
      <c r="Q13" s="15">
        <f t="shared" ref="Q13:Q24" si="1">O13*6</f>
        <v>6</v>
      </c>
      <c r="R13" s="19">
        <v>12</v>
      </c>
      <c r="S13" s="19"/>
      <c r="T13" s="20">
        <v>10</v>
      </c>
      <c r="U13" s="17">
        <f t="shared" si="0"/>
        <v>3.84</v>
      </c>
      <c r="V13" s="17">
        <f t="shared" ref="V13:V24" si="2">P13+Q13+R13+S13+T13+U13</f>
        <v>131.84</v>
      </c>
    </row>
    <row r="14" spans="2:42" ht="27" thickBot="1" x14ac:dyDescent="0.45">
      <c r="B14" s="86"/>
      <c r="C14" s="87"/>
      <c r="D14" s="101"/>
      <c r="E14" s="102"/>
      <c r="F14" s="100"/>
      <c r="G14" s="73"/>
      <c r="H14" s="72"/>
      <c r="I14" s="73"/>
      <c r="J14" s="100"/>
      <c r="K14" s="73"/>
      <c r="L14" s="72"/>
      <c r="M14" s="73"/>
      <c r="N14" s="18"/>
      <c r="O14" s="18"/>
      <c r="P14" s="14"/>
      <c r="Q14" s="15">
        <f t="shared" si="1"/>
        <v>0</v>
      </c>
      <c r="R14" s="19"/>
      <c r="S14" s="19"/>
      <c r="T14" s="20"/>
      <c r="U14" s="17">
        <f t="shared" si="0"/>
        <v>0</v>
      </c>
      <c r="V14" s="17">
        <f t="shared" si="2"/>
        <v>0</v>
      </c>
    </row>
    <row r="15" spans="2:42" ht="27" thickBot="1" x14ac:dyDescent="0.45">
      <c r="B15" s="86"/>
      <c r="C15" s="87"/>
      <c r="D15" s="101"/>
      <c r="E15" s="102"/>
      <c r="F15" s="100"/>
      <c r="G15" s="73"/>
      <c r="H15" s="72"/>
      <c r="I15" s="73"/>
      <c r="J15" s="100"/>
      <c r="K15" s="73"/>
      <c r="L15" s="72"/>
      <c r="M15" s="73"/>
      <c r="N15" s="13"/>
      <c r="O15" s="13"/>
      <c r="P15" s="14"/>
      <c r="Q15" s="15">
        <f t="shared" si="1"/>
        <v>0</v>
      </c>
      <c r="R15" s="19"/>
      <c r="S15" s="19"/>
      <c r="T15" s="20"/>
      <c r="U15" s="17">
        <f t="shared" si="0"/>
        <v>0</v>
      </c>
      <c r="V15" s="17">
        <f t="shared" si="2"/>
        <v>0</v>
      </c>
    </row>
    <row r="16" spans="2:42" ht="27" thickBot="1" x14ac:dyDescent="0.45">
      <c r="B16" s="86"/>
      <c r="C16" s="87"/>
      <c r="D16" s="101"/>
      <c r="E16" s="102"/>
      <c r="F16" s="100"/>
      <c r="G16" s="73"/>
      <c r="H16" s="72"/>
      <c r="I16" s="73"/>
      <c r="J16" s="100"/>
      <c r="K16" s="73"/>
      <c r="L16" s="72"/>
      <c r="M16" s="73"/>
      <c r="N16" s="18"/>
      <c r="O16" s="18"/>
      <c r="P16" s="14"/>
      <c r="Q16" s="15">
        <f t="shared" si="1"/>
        <v>0</v>
      </c>
      <c r="R16" s="19"/>
      <c r="S16" s="19"/>
      <c r="T16" s="20"/>
      <c r="U16" s="17">
        <f t="shared" si="0"/>
        <v>0</v>
      </c>
      <c r="V16" s="17">
        <f t="shared" si="2"/>
        <v>0</v>
      </c>
      <c r="W16" s="103"/>
      <c r="X16" s="103"/>
      <c r="Y16" s="104"/>
      <c r="Z16" s="104"/>
      <c r="AA16" s="79"/>
      <c r="AB16" s="78"/>
      <c r="AC16" s="78"/>
      <c r="AD16" s="78"/>
      <c r="AE16" s="79"/>
      <c r="AF16" s="78"/>
      <c r="AG16" s="78"/>
      <c r="AH16" s="78"/>
      <c r="AK16" s="21"/>
      <c r="AL16" s="21"/>
      <c r="AM16" s="21"/>
      <c r="AN16" s="21"/>
      <c r="AO16" s="21"/>
      <c r="AP16" s="21"/>
    </row>
    <row r="17" spans="2:22" ht="27" thickBot="1" x14ac:dyDescent="0.45">
      <c r="B17" s="86"/>
      <c r="C17" s="87"/>
      <c r="D17" s="76"/>
      <c r="E17" s="77"/>
      <c r="F17" s="100"/>
      <c r="G17" s="73"/>
      <c r="H17" s="100"/>
      <c r="I17" s="73"/>
      <c r="J17" s="100"/>
      <c r="K17" s="73"/>
      <c r="L17" s="72"/>
      <c r="M17" s="73"/>
      <c r="N17" s="18"/>
      <c r="O17" s="18"/>
      <c r="P17" s="14"/>
      <c r="Q17" s="15">
        <f t="shared" si="1"/>
        <v>0</v>
      </c>
      <c r="R17" s="19"/>
      <c r="S17" s="19"/>
      <c r="T17" s="20"/>
      <c r="U17" s="17">
        <f t="shared" si="0"/>
        <v>0</v>
      </c>
      <c r="V17" s="17">
        <f t="shared" si="2"/>
        <v>0</v>
      </c>
    </row>
    <row r="18" spans="2:22" ht="27" thickBot="1" x14ac:dyDescent="0.45">
      <c r="B18" s="86"/>
      <c r="C18" s="87"/>
      <c r="D18" s="101"/>
      <c r="E18" s="102"/>
      <c r="F18" s="100"/>
      <c r="G18" s="73"/>
      <c r="H18" s="72"/>
      <c r="I18" s="73"/>
      <c r="J18" s="100"/>
      <c r="K18" s="73"/>
      <c r="L18" s="72"/>
      <c r="M18" s="73"/>
      <c r="N18" s="18"/>
      <c r="O18" s="18"/>
      <c r="P18" s="14"/>
      <c r="Q18" s="15">
        <f t="shared" si="1"/>
        <v>0</v>
      </c>
      <c r="R18" s="19"/>
      <c r="S18" s="19"/>
      <c r="T18" s="20"/>
      <c r="U18" s="17">
        <f t="shared" si="0"/>
        <v>0</v>
      </c>
      <c r="V18" s="17">
        <f t="shared" si="2"/>
        <v>0</v>
      </c>
    </row>
    <row r="19" spans="2:22" ht="27" thickBot="1" x14ac:dyDescent="0.45">
      <c r="B19" s="86"/>
      <c r="C19" s="87"/>
      <c r="D19" s="72"/>
      <c r="E19" s="73"/>
      <c r="F19" s="72"/>
      <c r="G19" s="73"/>
      <c r="H19" s="72"/>
      <c r="I19" s="73"/>
      <c r="J19" s="72"/>
      <c r="K19" s="73"/>
      <c r="L19" s="72"/>
      <c r="M19" s="73"/>
      <c r="N19" s="13"/>
      <c r="O19" s="13"/>
      <c r="P19" s="14"/>
      <c r="Q19" s="15">
        <f t="shared" si="1"/>
        <v>0</v>
      </c>
      <c r="R19" s="22"/>
      <c r="S19" s="22"/>
      <c r="T19" s="13"/>
      <c r="U19" s="17">
        <f t="shared" ref="U19:U24" si="3">(P19+Q19+R19+T19)*0.03</f>
        <v>0</v>
      </c>
      <c r="V19" s="17">
        <f t="shared" si="2"/>
        <v>0</v>
      </c>
    </row>
    <row r="20" spans="2:22" ht="27" thickBot="1" x14ac:dyDescent="0.45">
      <c r="B20" s="86"/>
      <c r="C20" s="87"/>
      <c r="D20" s="72"/>
      <c r="E20" s="73"/>
      <c r="F20" s="72"/>
      <c r="G20" s="73"/>
      <c r="H20" s="72"/>
      <c r="I20" s="73"/>
      <c r="J20" s="72"/>
      <c r="K20" s="73"/>
      <c r="L20" s="72"/>
      <c r="M20" s="73"/>
      <c r="N20" s="23"/>
      <c r="O20" s="23"/>
      <c r="P20" s="14"/>
      <c r="Q20" s="15">
        <f t="shared" si="1"/>
        <v>0</v>
      </c>
      <c r="R20" s="24"/>
      <c r="S20" s="24"/>
      <c r="T20" s="23"/>
      <c r="U20" s="17">
        <f t="shared" si="3"/>
        <v>0</v>
      </c>
      <c r="V20" s="17">
        <f t="shared" si="2"/>
        <v>0</v>
      </c>
    </row>
    <row r="21" spans="2:22" ht="27" thickBot="1" x14ac:dyDescent="0.45">
      <c r="B21" s="86"/>
      <c r="C21" s="87"/>
      <c r="D21" s="72"/>
      <c r="E21" s="73"/>
      <c r="F21" s="72"/>
      <c r="G21" s="73"/>
      <c r="H21" s="72"/>
      <c r="I21" s="73"/>
      <c r="J21" s="72"/>
      <c r="K21" s="73"/>
      <c r="L21" s="72"/>
      <c r="M21" s="73"/>
      <c r="N21" s="23"/>
      <c r="O21" s="23"/>
      <c r="P21" s="14"/>
      <c r="Q21" s="15">
        <f t="shared" si="1"/>
        <v>0</v>
      </c>
      <c r="R21" s="24"/>
      <c r="S21" s="24"/>
      <c r="T21" s="23"/>
      <c r="U21" s="17">
        <f t="shared" si="3"/>
        <v>0</v>
      </c>
      <c r="V21" s="17">
        <f t="shared" si="2"/>
        <v>0</v>
      </c>
    </row>
    <row r="22" spans="2:22" ht="27" thickBot="1" x14ac:dyDescent="0.45">
      <c r="B22" s="86"/>
      <c r="C22" s="87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23"/>
      <c r="O22" s="23"/>
      <c r="P22" s="14"/>
      <c r="Q22" s="15">
        <f t="shared" si="1"/>
        <v>0</v>
      </c>
      <c r="R22" s="24"/>
      <c r="S22" s="24"/>
      <c r="T22" s="23"/>
      <c r="U22" s="17">
        <f t="shared" si="3"/>
        <v>0</v>
      </c>
      <c r="V22" s="17">
        <f t="shared" si="2"/>
        <v>0</v>
      </c>
    </row>
    <row r="23" spans="2:22" ht="27" thickBot="1" x14ac:dyDescent="0.45">
      <c r="B23" s="86"/>
      <c r="C23" s="87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23"/>
      <c r="O23" s="23"/>
      <c r="P23" s="14"/>
      <c r="Q23" s="15">
        <f t="shared" si="1"/>
        <v>0</v>
      </c>
      <c r="R23" s="24"/>
      <c r="S23" s="24"/>
      <c r="T23" s="23"/>
      <c r="U23" s="17">
        <f t="shared" si="3"/>
        <v>0</v>
      </c>
      <c r="V23" s="17">
        <f t="shared" si="2"/>
        <v>0</v>
      </c>
    </row>
    <row r="24" spans="2:22" ht="27" thickBot="1" x14ac:dyDescent="0.45">
      <c r="B24" s="72"/>
      <c r="C24" s="73"/>
      <c r="D24" s="88"/>
      <c r="E24" s="73"/>
      <c r="F24" s="72"/>
      <c r="G24" s="73"/>
      <c r="H24" s="72"/>
      <c r="I24" s="73"/>
      <c r="J24" s="88"/>
      <c r="K24" s="73"/>
      <c r="L24" s="72"/>
      <c r="M24" s="73"/>
      <c r="N24" s="13"/>
      <c r="O24" s="13"/>
      <c r="P24" s="13"/>
      <c r="Q24" s="15">
        <f t="shared" si="1"/>
        <v>0</v>
      </c>
      <c r="R24" s="13"/>
      <c r="S24" s="13"/>
      <c r="T24" s="13"/>
      <c r="U24" s="17">
        <f t="shared" si="3"/>
        <v>0</v>
      </c>
      <c r="V24" s="17">
        <f t="shared" si="2"/>
        <v>0</v>
      </c>
    </row>
    <row r="25" spans="2:22" ht="27" thickBot="1" x14ac:dyDescent="0.45">
      <c r="V25" s="17">
        <f>SUM(V12:V24)</f>
        <v>253.38</v>
      </c>
    </row>
    <row r="26" spans="2:22" ht="27" thickBot="1" x14ac:dyDescent="0.45">
      <c r="B26" s="90" t="s">
        <v>33</v>
      </c>
      <c r="C26" s="91"/>
      <c r="D26" s="92"/>
      <c r="F26" s="97" t="s">
        <v>34</v>
      </c>
      <c r="G26" s="91"/>
      <c r="H26" s="91"/>
      <c r="I26" s="92"/>
      <c r="J26" s="90" t="s">
        <v>35</v>
      </c>
      <c r="K26" s="92"/>
      <c r="N26" s="90" t="s">
        <v>34</v>
      </c>
      <c r="O26" s="92"/>
      <c r="P26" s="90" t="s">
        <v>35</v>
      </c>
      <c r="Q26" s="92"/>
      <c r="T26" s="72" t="s">
        <v>36</v>
      </c>
      <c r="U26" s="73"/>
      <c r="V26" s="17">
        <f>K28+Q28</f>
        <v>15.01</v>
      </c>
    </row>
    <row r="27" spans="2:22" ht="27" thickBot="1" x14ac:dyDescent="0.45">
      <c r="B27" s="26" t="s">
        <v>37</v>
      </c>
      <c r="C27" s="8" t="s">
        <v>38</v>
      </c>
      <c r="D27" s="27" t="s">
        <v>39</v>
      </c>
      <c r="F27" s="28" t="s">
        <v>40</v>
      </c>
      <c r="G27" s="72">
        <v>72676</v>
      </c>
      <c r="H27" s="88"/>
      <c r="I27" s="73"/>
      <c r="J27" s="25" t="s">
        <v>41</v>
      </c>
      <c r="K27" s="29" t="s">
        <v>42</v>
      </c>
      <c r="N27" s="28" t="s">
        <v>40</v>
      </c>
      <c r="O27" s="13">
        <v>53148</v>
      </c>
      <c r="P27" s="25" t="s">
        <v>41</v>
      </c>
      <c r="Q27" s="29" t="s">
        <v>42</v>
      </c>
      <c r="T27" s="72" t="s">
        <v>43</v>
      </c>
      <c r="U27" s="73"/>
      <c r="V27" s="17">
        <f>V25-V26</f>
        <v>238.37</v>
      </c>
    </row>
    <row r="28" spans="2:22" ht="27" thickBot="1" x14ac:dyDescent="0.45">
      <c r="B28" s="30">
        <v>0.3888888888888889</v>
      </c>
      <c r="C28" s="31">
        <v>0.40972222222222221</v>
      </c>
      <c r="D28" s="32"/>
      <c r="F28" s="28" t="s">
        <v>38</v>
      </c>
      <c r="G28" s="72">
        <v>72741</v>
      </c>
      <c r="H28" s="88"/>
      <c r="I28" s="73"/>
      <c r="J28" s="33">
        <v>1.36</v>
      </c>
      <c r="K28" s="34">
        <v>5</v>
      </c>
      <c r="N28" s="28" t="s">
        <v>38</v>
      </c>
      <c r="O28" s="13">
        <v>53197</v>
      </c>
      <c r="P28" s="35">
        <v>2.5</v>
      </c>
      <c r="Q28" s="36">
        <v>10.01</v>
      </c>
      <c r="T28" s="72" t="s">
        <v>44</v>
      </c>
      <c r="U28" s="73"/>
      <c r="V28" s="13"/>
    </row>
    <row r="29" spans="2:22" ht="27" thickBot="1" x14ac:dyDescent="0.45">
      <c r="B29" s="37">
        <v>0.45833333333333331</v>
      </c>
      <c r="C29" s="38">
        <v>0.5</v>
      </c>
      <c r="D29" s="39"/>
      <c r="F29" s="40" t="s">
        <v>31</v>
      </c>
      <c r="G29" s="72">
        <f>G28-G27</f>
        <v>65</v>
      </c>
      <c r="H29" s="88"/>
      <c r="I29" s="73"/>
      <c r="L29" s="1" t="s">
        <v>2</v>
      </c>
      <c r="N29" s="40" t="s">
        <v>31</v>
      </c>
      <c r="O29" s="13">
        <f>O28-O27</f>
        <v>49</v>
      </c>
      <c r="T29" s="72" t="s">
        <v>45</v>
      </c>
      <c r="U29" s="73"/>
      <c r="V29" s="17">
        <f>V27-V28</f>
        <v>238.37</v>
      </c>
    </row>
    <row r="30" spans="2:22" ht="27" thickBot="1" x14ac:dyDescent="0.45">
      <c r="B30" s="41">
        <v>0.16666666666666666</v>
      </c>
      <c r="C30" s="42">
        <v>0.1875</v>
      </c>
      <c r="D30" s="43"/>
    </row>
    <row r="32" spans="2:22" x14ac:dyDescent="0.4">
      <c r="D32" s="89" t="s">
        <v>46</v>
      </c>
      <c r="E32" s="89"/>
      <c r="F32" s="89"/>
      <c r="G32" s="89"/>
      <c r="H32" s="89"/>
      <c r="I32" s="89"/>
      <c r="J32" s="89"/>
      <c r="K32" s="89"/>
      <c r="M32" s="89" t="s">
        <v>47</v>
      </c>
      <c r="N32" s="89"/>
      <c r="O32" s="6"/>
      <c r="P32" s="6"/>
      <c r="Q32" s="6"/>
      <c r="R32" s="6"/>
      <c r="S32" s="6"/>
      <c r="T32" s="6"/>
      <c r="U32" s="6"/>
    </row>
    <row r="33" spans="4:14" x14ac:dyDescent="0.4">
      <c r="D33" s="89"/>
      <c r="E33" s="89"/>
      <c r="F33" s="89"/>
      <c r="G33" s="89"/>
      <c r="H33" s="89"/>
      <c r="I33" s="89"/>
      <c r="J33" s="89"/>
      <c r="K33" s="89"/>
      <c r="M33" s="89"/>
      <c r="N33" s="89"/>
    </row>
  </sheetData>
  <mergeCells count="119">
    <mergeCell ref="D32:K33"/>
    <mergeCell ref="M32:N33"/>
    <mergeCell ref="G27:I27"/>
    <mergeCell ref="T27:U27"/>
    <mergeCell ref="G28:I28"/>
    <mergeCell ref="T28:U28"/>
    <mergeCell ref="G29:I29"/>
    <mergeCell ref="T29:U29"/>
    <mergeCell ref="B26:D26"/>
    <mergeCell ref="F26:I26"/>
    <mergeCell ref="J26:K26"/>
    <mergeCell ref="N26:O26"/>
    <mergeCell ref="P26:Q26"/>
    <mergeCell ref="T26:U26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W16:X16"/>
    <mergeCell ref="Y16:Z16"/>
    <mergeCell ref="AA16:AB16"/>
    <mergeCell ref="AC16:AD16"/>
    <mergeCell ref="AE16:AF16"/>
    <mergeCell ref="AG16:AH16"/>
    <mergeCell ref="B16:C16"/>
    <mergeCell ref="D16:E16"/>
    <mergeCell ref="F16:G16"/>
    <mergeCell ref="H16:I16"/>
    <mergeCell ref="J16:K16"/>
    <mergeCell ref="L16:M16"/>
    <mergeCell ref="B13:C13"/>
    <mergeCell ref="D13:E13"/>
    <mergeCell ref="F13:G13"/>
    <mergeCell ref="H13:I13"/>
    <mergeCell ref="J13:K13"/>
    <mergeCell ref="L13:M13"/>
    <mergeCell ref="N10:N11"/>
    <mergeCell ref="O10:O11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2:C12"/>
    <mergeCell ref="D12:E12"/>
    <mergeCell ref="F12:G12"/>
    <mergeCell ref="H12:I12"/>
    <mergeCell ref="J12:K12"/>
    <mergeCell ref="B7:C7"/>
    <mergeCell ref="D7:G7"/>
    <mergeCell ref="J7:K7"/>
    <mergeCell ref="P7:Q7"/>
    <mergeCell ref="B10:C11"/>
    <mergeCell ref="D10:E11"/>
    <mergeCell ref="F10:G11"/>
    <mergeCell ref="H10:I11"/>
    <mergeCell ref="J10:K11"/>
    <mergeCell ref="L10:M11"/>
    <mergeCell ref="L12:M12"/>
    <mergeCell ref="D2:O3"/>
    <mergeCell ref="Q2:U3"/>
    <mergeCell ref="B5:C5"/>
    <mergeCell ref="D5:G5"/>
    <mergeCell ref="J5:K5"/>
    <mergeCell ref="P5:Q5"/>
    <mergeCell ref="Q10:Q11"/>
    <mergeCell ref="T10:T11"/>
    <mergeCell ref="U10:U11"/>
  </mergeCells>
  <pageMargins left="0.7" right="0.7" top="0.75" bottom="0.75" header="0.3" footer="0.3"/>
  <pageSetup scale="3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Jorge 04</vt:lpstr>
      <vt:lpstr>Armando 05</vt:lpstr>
      <vt:lpstr>Felix 01</vt:lpstr>
      <vt:lpstr>Taylor 02</vt:lpstr>
      <vt:lpstr>Charles 05</vt:lpstr>
      <vt:lpstr>2 Vehiculos</vt:lpstr>
      <vt:lpstr>'2 Vehiculos'!Print_Area</vt:lpstr>
      <vt:lpstr>'Armando 05'!Print_Area</vt:lpstr>
      <vt:lpstr>'Charles 05'!Print_Area</vt:lpstr>
      <vt:lpstr>'Jorge 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garcia galvez</dc:creator>
  <cp:lastModifiedBy>jorge mario garcia galvez</cp:lastModifiedBy>
  <cp:lastPrinted>2025-12-04T05:17:53Z</cp:lastPrinted>
  <dcterms:created xsi:type="dcterms:W3CDTF">2025-10-23T16:09:03Z</dcterms:created>
  <dcterms:modified xsi:type="dcterms:W3CDTF">2025-12-07T08:05:27Z</dcterms:modified>
</cp:coreProperties>
</file>